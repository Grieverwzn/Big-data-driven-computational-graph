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xwu03\Nutstore\1\Coding\Template\Excels\"/>
    </mc:Choice>
  </mc:AlternateContent>
  <xr:revisionPtr revIDLastSave="0" documentId="13_ncr:1_{8256E26A-DA32-4109-B18F-C21783C8F6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 Templates" sheetId="1" r:id="rId1"/>
    <sheet name="2 Observations" sheetId="2" r:id="rId2"/>
    <sheet name="3 Estim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B23" i="1" a="1"/>
  <c r="I24" i="1" s="1"/>
  <c r="E23" i="1" l="1"/>
  <c r="J23" i="1"/>
  <c r="F23" i="1"/>
  <c r="J25" i="1"/>
  <c r="B26" i="1"/>
  <c r="C26" i="1"/>
  <c r="B24" i="1"/>
  <c r="D26" i="1"/>
  <c r="C24" i="1"/>
  <c r="E26" i="1"/>
  <c r="D24" i="1"/>
  <c r="F26" i="1"/>
  <c r="E24" i="1"/>
  <c r="G26" i="1"/>
  <c r="F24" i="1"/>
  <c r="H26" i="1"/>
  <c r="G24" i="1"/>
  <c r="I26" i="1"/>
  <c r="H24" i="1"/>
  <c r="J24" i="1"/>
  <c r="B25" i="1"/>
  <c r="B23" i="1"/>
  <c r="G23" i="1"/>
  <c r="I25" i="1"/>
  <c r="C25" i="1"/>
  <c r="D25" i="1"/>
  <c r="E25" i="1"/>
  <c r="D23" i="1"/>
  <c r="G25" i="1"/>
  <c r="C23" i="1"/>
  <c r="F25" i="1"/>
  <c r="H25" i="1"/>
  <c r="H23" i="1"/>
  <c r="I23" i="1"/>
  <c r="J26" i="1"/>
  <c r="B16" i="2" l="1" a="1"/>
  <c r="B17" i="2" l="1"/>
  <c r="H18" i="2"/>
  <c r="H20" i="2"/>
  <c r="H36" i="3" s="1"/>
  <c r="D16" i="2"/>
  <c r="F20" i="2"/>
  <c r="F36" i="3" s="1"/>
  <c r="C18" i="2"/>
  <c r="B16" i="2"/>
  <c r="J18" i="2"/>
  <c r="E18" i="2"/>
  <c r="C16" i="2"/>
  <c r="E20" i="2"/>
  <c r="E36" i="3" s="1"/>
  <c r="D20" i="2"/>
  <c r="D36" i="3" s="1"/>
  <c r="B20" i="2"/>
  <c r="I20" i="2"/>
  <c r="I36" i="3" s="1"/>
  <c r="G18" i="2"/>
  <c r="E16" i="2"/>
  <c r="I17" i="2"/>
  <c r="I19" i="2"/>
  <c r="G17" i="2"/>
  <c r="J19" i="2"/>
  <c r="H17" i="2"/>
  <c r="F17" i="2"/>
  <c r="H19" i="2"/>
  <c r="G19" i="2"/>
  <c r="E17" i="2"/>
  <c r="D17" i="2"/>
  <c r="E19" i="2"/>
  <c r="C17" i="2"/>
  <c r="D19" i="2"/>
  <c r="C19" i="2"/>
  <c r="J16" i="2"/>
  <c r="B19" i="2"/>
  <c r="I16" i="2"/>
  <c r="I18" i="2"/>
  <c r="G16" i="2"/>
  <c r="J20" i="2"/>
  <c r="J36" i="3" s="1"/>
  <c r="F16" i="2"/>
  <c r="G20" i="2"/>
  <c r="G36" i="3" s="1"/>
  <c r="D18" i="2"/>
  <c r="B18" i="2"/>
  <c r="F19" i="2"/>
  <c r="H16" i="2"/>
  <c r="F18" i="2"/>
  <c r="C20" i="2"/>
  <c r="C36" i="3" s="1"/>
  <c r="J17" i="2"/>
  <c r="B11" i="3" l="1"/>
  <c r="E11" i="3"/>
  <c r="D11" i="3"/>
  <c r="C11" i="3"/>
  <c r="E13" i="3"/>
  <c r="D13" i="3"/>
  <c r="C13" i="3"/>
  <c r="B13" i="3"/>
  <c r="B36" i="3"/>
  <c r="B12" i="3"/>
  <c r="E12" i="3"/>
  <c r="C12" i="3"/>
  <c r="D12" i="3"/>
  <c r="C10" i="3"/>
  <c r="E10" i="3"/>
  <c r="D10" i="3"/>
  <c r="B10" i="3"/>
  <c r="E9" i="3"/>
  <c r="C30" i="3" s="1" a="1"/>
  <c r="C30" i="3" s="1"/>
  <c r="D9" i="3"/>
  <c r="C29" i="3" s="1" a="1"/>
  <c r="C29" i="3" s="1"/>
  <c r="B18" i="3" a="1"/>
  <c r="D29" i="3" a="1"/>
  <c r="D29" i="3" s="1"/>
  <c r="D27" i="3" a="1"/>
  <c r="D27" i="3" s="1"/>
  <c r="C9" i="3"/>
  <c r="B9" i="3"/>
  <c r="D30" i="3" l="1" a="1"/>
  <c r="D30" i="3" s="1"/>
  <c r="B27" i="3" a="1"/>
  <c r="B27" i="3" s="1"/>
  <c r="C28" i="3" a="1"/>
  <c r="C28" i="3" s="1"/>
  <c r="D28" i="3" a="1"/>
  <c r="D28" i="3" s="1"/>
  <c r="B19" i="3"/>
  <c r="E19" i="3"/>
  <c r="E22" i="3"/>
  <c r="E21" i="3"/>
  <c r="D18" i="3"/>
  <c r="C18" i="3"/>
  <c r="E20" i="3"/>
  <c r="D22" i="3"/>
  <c r="C22" i="3"/>
  <c r="B22" i="3"/>
  <c r="B41" i="3" s="1" a="1"/>
  <c r="D21" i="3"/>
  <c r="B21" i="3"/>
  <c r="D20" i="3"/>
  <c r="C20" i="3"/>
  <c r="B20" i="3"/>
  <c r="D19" i="3"/>
  <c r="C19" i="3"/>
  <c r="E18" i="3"/>
  <c r="B18" i="3"/>
  <c r="C21" i="3"/>
  <c r="C27" i="3" a="1"/>
  <c r="C27" i="3" s="1"/>
  <c r="B28" i="3" a="1"/>
  <c r="B28" i="3" s="1"/>
  <c r="B30" i="3" a="1"/>
  <c r="B30" i="3" s="1"/>
  <c r="G37" i="3"/>
  <c r="F37" i="3"/>
  <c r="E37" i="3"/>
  <c r="D37" i="3"/>
  <c r="C37" i="3"/>
  <c r="B37" i="3"/>
  <c r="J37" i="3"/>
  <c r="I37" i="3"/>
  <c r="H37" i="3"/>
  <c r="B29" i="3" a="1"/>
  <c r="B29" i="3" s="1"/>
  <c r="J38" i="3"/>
  <c r="I38" i="3"/>
  <c r="H38" i="3"/>
  <c r="G38" i="3"/>
  <c r="F38" i="3"/>
  <c r="E38" i="3"/>
  <c r="D38" i="3"/>
  <c r="C38" i="3"/>
  <c r="B38" i="3"/>
  <c r="I39" i="3"/>
  <c r="H39" i="3"/>
  <c r="G39" i="3"/>
  <c r="F39" i="3"/>
  <c r="E39" i="3"/>
  <c r="D39" i="3"/>
  <c r="C39" i="3"/>
  <c r="B39" i="3"/>
  <c r="J39" i="3"/>
  <c r="J40" i="3"/>
  <c r="I40" i="3"/>
  <c r="H40" i="3"/>
  <c r="G40" i="3"/>
  <c r="F40" i="3"/>
  <c r="E40" i="3"/>
  <c r="D40" i="3"/>
  <c r="C40" i="3"/>
  <c r="B40" i="3"/>
  <c r="D31" i="3" l="1" a="1"/>
  <c r="D31" i="3" s="1"/>
  <c r="B31" i="3" a="1"/>
  <c r="B31" i="3" s="1"/>
  <c r="C31" i="3" a="1"/>
  <c r="C31" i="3" s="1"/>
  <c r="J41" i="3"/>
  <c r="I41" i="3"/>
  <c r="H41" i="3"/>
  <c r="G41" i="3"/>
  <c r="F41" i="3"/>
  <c r="E41" i="3"/>
  <c r="D41" i="3"/>
  <c r="C41" i="3"/>
  <c r="B41" i="3"/>
</calcChain>
</file>

<file path=xl/sharedStrings.xml><?xml version="1.0" encoding="utf-8"?>
<sst xmlns="http://schemas.openxmlformats.org/spreadsheetml/2006/main" count="145" uniqueCount="78">
  <si>
    <t>Six-node network (Section 7.1): templates</t>
  </si>
  <si>
    <t>One OD pair 1→4 with demand q = 6, five paths P1-P5, nine links: l1: 1→3, l2: 1→2, l3: 1→5, l4: 5→6, l5: 5→2, l6: 6→3, l7: 6→4, l8: 3→4, l9: 2→4.</t>
  </si>
  <si>
    <t>Yellow cells are inputs; green cells are Excel formulas. Path flows of the templates are set by hand.</t>
  </si>
  <si>
    <t>Path-link incidence matrix δ (input): δ(p, l) = 1 if path p uses link l</t>
  </si>
  <si>
    <t>Path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</si>
  <si>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</si>
  <si>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</si>
  <si>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</si>
  <si>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</si>
  <si>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</si>
  <si>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</si>
  <si>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</si>
  <si>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</si>
  <si>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</si>
  <si>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P1</t>
  </si>
  <si>
    <t>P2</t>
  </si>
  <si>
    <t>P3</t>
  </si>
  <si>
    <t>P4</t>
  </si>
  <si>
    <t>P5</t>
  </si>
  <si>
    <t>Path flows f_s of each template (input)</t>
  </si>
  <si>
    <t>Template</t>
  </si>
  <si>
    <t>Template 1</t>
  </si>
  <si>
    <t>Template 2</t>
  </si>
  <si>
    <t>Template 3</t>
  </si>
  <si>
    <t>Template 4</t>
  </si>
  <si>
    <t>Link flows v_s of each template</t>
  </si>
  <si>
    <t>Formula: v_s = f_s δ</t>
  </si>
  <si>
    <t>The four templates are linearly independent (this matrix has rank 4).</t>
  </si>
  <si>
    <t>Six-node network (Section 7.1): observations</t>
  </si>
  <si>
    <t>The weights λ^m are assumed. They are used only to generate the observations; the model does not see them.</t>
  </si>
  <si>
    <t>Each observation is a convex combination of the templates: λ_s^m ≥ 0 and Σ_s λ_s^m = 1.</t>
  </si>
  <si>
    <t>Assumed weights λ^m (input)</t>
  </si>
  <si>
    <t>Observation</t>
  </si>
  <si>
    <t>Sum</t>
  </si>
  <si>
    <t>Description</t>
  </si>
  <si>
    <t>Observation 1</t>
  </si>
  <si>
    <t>Mild congestion onset</t>
  </si>
  <si>
    <t>Observation 2</t>
  </si>
  <si>
    <t>Full peak congestion</t>
  </si>
  <si>
    <t>Observation 3</t>
  </si>
  <si>
    <t>Event at node 3</t>
  </si>
  <si>
    <t>Observation 4</t>
  </si>
  <si>
    <t>Lower corridor incident</t>
  </si>
  <si>
    <t>Observation 5</t>
  </si>
  <si>
    <t>Mixed event and incident</t>
  </si>
  <si>
    <t>Observed link flows v̄^m</t>
  </si>
  <si>
    <t>Formula: v̄^m = Σ_s λ_s^m v_s</t>
  </si>
  <si>
    <t>Sensor (1 = yes)</t>
  </si>
  <si>
    <t>Links l5 and l6 have no sensor: their flows are not used in the estimation (sheet 3).</t>
  </si>
  <si>
    <t>Six-node network (Section 7.1): estimation from the seven links with a sensor</t>
  </si>
  <si>
    <t>The model is fitted on the links with a sensor only; the errors are taken on all nine links.</t>
  </si>
  <si>
    <t>One template (S = 1): the model can only scale the template, η v_s, so observations made from several templates are not reproduced.</t>
  </si>
  <si>
    <t>Four templates (S = 4): the model fits the weights λ^m and reproduces every observation, including l5 and l6.</t>
  </si>
  <si>
    <t>Table 1  One template: best scale η for each observation (rows) and template (columns)</t>
  </si>
  <si>
    <t>Formula: η = Σ_sensor v̄^m · v_s / Σ_sensor v_s · v_s   (least squares on the links with a sensor)</t>
  </si>
  <si>
    <t>Table 2  Four templates: estimated weights λ^m (compare with the assumed weights in sheet 2)</t>
  </si>
  <si>
    <t>Formula: least squares on the links with a sensor:  λ^m = v̄^m D Vᵀ (V D Vᵀ)⁻¹,  V = rows v_1..v_4,  D = diag(sensor)</t>
  </si>
  <si>
    <t>Table 3  Errors over the five observations and all nine links</t>
  </si>
  <si>
    <t>Formula: estimate = η v_s (one template) or Σ_s λ_s^m v_s (four templates); RMSE and MAE over 45 values; MAPE = mean over observations of mean |error| / v̄ (v̄ &gt; 0)</t>
  </si>
  <si>
    <t>Model</t>
  </si>
  <si>
    <t>RMSE</t>
  </si>
  <si>
    <t>MAE</t>
  </si>
  <si>
    <t>MAPE (%)</t>
  </si>
  <si>
    <t>Template 1 only (S = 1)</t>
  </si>
  <si>
    <t>Template 2 only (S = 1)</t>
  </si>
  <si>
    <t>Template 3 only (S = 1)</t>
  </si>
  <si>
    <t>Template 4 only (S = 1)</t>
  </si>
  <si>
    <t>Four templates (S = 4)</t>
  </si>
  <si>
    <t>Table 4  Example: observation 5 (made from all four templates)</t>
  </si>
  <si>
    <t>Formula: one template: η v_s;  four templates: Σ_s λ_s^5 v_s</t>
  </si>
  <si>
    <t>Link flows</t>
  </si>
  <si>
    <t>Observed v̄^5</t>
  </si>
  <si>
    <t>Template 1 only</t>
  </si>
  <si>
    <t>Template 2 only</t>
  </si>
  <si>
    <t>Template 3 only</t>
  </si>
  <si>
    <t>Template 4 only</t>
  </si>
  <si>
    <t>Four templates</t>
  </si>
  <si>
    <t>No single template matches the observed flows; the four templates reproduce them exactly, including l5 and l6.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</si>
</sst>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555555"/>
      <name val="Calibri"/>
    </font>
    <font>
      <b/>
      <sz val="11"/>
      <color rgb="FF0000AA"/>
      <name val="Calibri"/>
    </font>
    <font>
      <b/>
      <sz val="11"/>
      <name val="Calibri"/>
    </font>
    <font>
      <sz val="11"/>
      <color rgb="FF7F3F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0" xfId="0" applyFont="1"/>
    <xf numFmtId="0" fontId="0" fillId="0" borderId="1" xfId="0" applyBorder="1"/>
    <xf numFmtId="1" fontId="0" fillId="4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/>
  </sheetViews>
  <sheetFormatPr defaultRowHeight="15" x14ac:dyDescent="0.25"/>
  <cols>
    <col min="1" max="1" width="24" customWidth="1"/>
    <col min="2" max="11" width="8" customWidth="1"/>
  </cols>
  <sheetData>
    <row r="1" spans="1:10" ht="18.75" x14ac:dyDescent="0.3">
      <c r="A1" s="1" t="s">
        <v>0</v>
      </c>
    </row>
    <row r="2" spans="1:10" x14ac:dyDescent="0.25">
      <c r="A2" s="2" t="s">
        <v>1</v>
      </c>
    </row>
    <row r="3" spans="1:10" x14ac:dyDescent="0.25">
      <c r="A3" s="2" t="s">
        <v>2</v>
      </c>
    </row>
    <row r="5" spans="1:10" x14ac:dyDescent="0.25">
      <c r="A5" s="3" t="s">
        <v>3</v>
      </c>
    </row>
    <row r="6" spans="1:10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</row>
    <row r="7" spans="1:10" x14ac:dyDescent="0.25">
      <c r="A7" s="5" t="s">
        <v>14</v>
      </c>
      <c r="B7" s="6">
        <v>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1</v>
      </c>
      <c r="J7" s="6">
        <v>0</v>
      </c>
    </row>
    <row r="8" spans="1:10" x14ac:dyDescent="0.25">
      <c r="A8" s="5" t="s">
        <v>15</v>
      </c>
      <c r="B8" s="6">
        <v>0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</v>
      </c>
    </row>
    <row r="9" spans="1:10" x14ac:dyDescent="0.25">
      <c r="A9" s="5" t="s">
        <v>16</v>
      </c>
      <c r="B9" s="6">
        <v>0</v>
      </c>
      <c r="C9" s="6">
        <v>0</v>
      </c>
      <c r="D9" s="6">
        <v>1</v>
      </c>
      <c r="E9" s="6">
        <v>1</v>
      </c>
      <c r="F9" s="6">
        <v>0</v>
      </c>
      <c r="G9" s="6">
        <v>0</v>
      </c>
      <c r="H9" s="6">
        <v>1</v>
      </c>
      <c r="I9" s="6">
        <v>0</v>
      </c>
      <c r="J9" s="6">
        <v>0</v>
      </c>
    </row>
    <row r="10" spans="1:10" x14ac:dyDescent="0.25">
      <c r="A10" s="5" t="s">
        <v>17</v>
      </c>
      <c r="B10" s="6">
        <v>0</v>
      </c>
      <c r="C10" s="6">
        <v>0</v>
      </c>
      <c r="D10" s="6">
        <v>1</v>
      </c>
      <c r="E10" s="6">
        <v>0</v>
      </c>
      <c r="F10" s="6">
        <v>1</v>
      </c>
      <c r="G10" s="6">
        <v>0</v>
      </c>
      <c r="H10" s="6">
        <v>0</v>
      </c>
      <c r="I10" s="6">
        <v>0</v>
      </c>
      <c r="J10" s="6">
        <v>1</v>
      </c>
    </row>
    <row r="11" spans="1:10" x14ac:dyDescent="0.25">
      <c r="A11" s="5" t="s">
        <v>18</v>
      </c>
      <c r="B11" s="6">
        <v>0</v>
      </c>
      <c r="C11" s="6">
        <v>0</v>
      </c>
      <c r="D11" s="6">
        <v>1</v>
      </c>
      <c r="E11" s="6">
        <v>1</v>
      </c>
      <c r="F11" s="6">
        <v>0</v>
      </c>
      <c r="G11" s="6">
        <v>1</v>
      </c>
      <c r="H11" s="6">
        <v>0</v>
      </c>
      <c r="I11" s="6">
        <v>1</v>
      </c>
      <c r="J11" s="6">
        <v>0</v>
      </c>
    </row>
    <row r="13" spans="1:10" x14ac:dyDescent="0.25">
      <c r="A13" s="3" t="s">
        <v>19</v>
      </c>
    </row>
    <row r="14" spans="1:10" x14ac:dyDescent="0.25">
      <c r="A14" s="4" t="s">
        <v>20</v>
      </c>
      <c r="B14" s="4" t="s">
        <v>14</v>
      </c>
      <c r="C14" s="4" t="s">
        <v>15</v>
      </c>
      <c r="D14" s="4" t="s">
        <v>16</v>
      </c>
      <c r="E14" s="4" t="s">
        <v>17</v>
      </c>
      <c r="F14" s="4" t="s">
        <v>18</v>
      </c>
    </row>
    <row r="15" spans="1:10" x14ac:dyDescent="0.25">
      <c r="A15" s="5" t="s">
        <v>21</v>
      </c>
      <c r="B15" s="6">
        <v>3</v>
      </c>
      <c r="C15" s="6">
        <v>3</v>
      </c>
      <c r="D15" s="6">
        <v>0</v>
      </c>
      <c r="E15" s="6">
        <v>0</v>
      </c>
      <c r="F15" s="6">
        <v>0</v>
      </c>
    </row>
    <row r="16" spans="1:10" x14ac:dyDescent="0.25">
      <c r="A16" s="5" t="s">
        <v>22</v>
      </c>
      <c r="B16" s="6">
        <v>1</v>
      </c>
      <c r="C16" s="6">
        <v>1</v>
      </c>
      <c r="D16" s="6">
        <v>2</v>
      </c>
      <c r="E16" s="6">
        <v>2</v>
      </c>
      <c r="F16" s="6">
        <v>0</v>
      </c>
    </row>
    <row r="17" spans="1:10" x14ac:dyDescent="0.25">
      <c r="A17" s="5" t="s">
        <v>23</v>
      </c>
      <c r="B17" s="6">
        <v>4</v>
      </c>
      <c r="C17" s="6">
        <v>0</v>
      </c>
      <c r="D17" s="6">
        <v>0</v>
      </c>
      <c r="E17" s="6">
        <v>0</v>
      </c>
      <c r="F17" s="6">
        <v>2</v>
      </c>
    </row>
    <row r="18" spans="1:10" x14ac:dyDescent="0.25">
      <c r="A18" s="5" t="s">
        <v>24</v>
      </c>
      <c r="B18" s="6">
        <v>2</v>
      </c>
      <c r="C18" s="6">
        <v>0</v>
      </c>
      <c r="D18" s="6">
        <v>3</v>
      </c>
      <c r="E18" s="6">
        <v>0</v>
      </c>
      <c r="F18" s="6">
        <v>1</v>
      </c>
    </row>
    <row r="20" spans="1:10" x14ac:dyDescent="0.25">
      <c r="A20" s="3" t="s">
        <v>25</v>
      </c>
    </row>
    <row r="21" spans="1:10" x14ac:dyDescent="0.25">
      <c r="A21" s="7" t="s">
        <v>26</v>
      </c>
    </row>
    <row r="22" spans="1:10" x14ac:dyDescent="0.25">
      <c r="A22" s="4" t="s">
        <v>20</v>
      </c>
      <c r="B22" s="4" t="s">
        <v>5</v>
      </c>
      <c r="C22" s="4" t="s">
        <v>6</v>
      </c>
      <c r="D22" s="4" t="s">
        <v>7</v>
      </c>
      <c r="E22" s="4" t="s">
        <v>8</v>
      </c>
      <c r="F22" s="4" t="s">
        <v>9</v>
      </c>
      <c r="G22" s="4" t="s">
        <v>10</v>
      </c>
      <c r="H22" s="4" t="s">
        <v>11</v>
      </c>
      <c r="I22" s="4" t="s">
        <v>12</v>
      </c>
      <c r="J22" s="4" t="s">
        <v>13</v>
      </c>
    </row>
    <row r="23" spans="1:10" x14ac:dyDescent="0.25">
      <c r="A23" s="8" t="s">
        <v>21</v>
      </c>
      <c r="B23" s="9">
        <f t="array" ref="B23:J26">MMULT($B$15:$F$18,$B$7:$J$11)</f>
        <v>3</v>
      </c>
      <c r="C23" s="9">
        <v>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3</v>
      </c>
      <c r="J23" s="9">
        <v>3</v>
      </c>
    </row>
    <row r="24" spans="1:10" x14ac:dyDescent="0.25">
      <c r="A24" s="8" t="s">
        <v>22</v>
      </c>
      <c r="B24" s="9">
        <v>1</v>
      </c>
      <c r="C24" s="9">
        <v>1</v>
      </c>
      <c r="D24" s="9">
        <v>4</v>
      </c>
      <c r="E24" s="9">
        <v>2</v>
      </c>
      <c r="F24" s="9">
        <v>2</v>
      </c>
      <c r="G24" s="9">
        <v>0</v>
      </c>
      <c r="H24" s="9">
        <v>2</v>
      </c>
      <c r="I24" s="9">
        <v>1</v>
      </c>
      <c r="J24" s="9">
        <v>3</v>
      </c>
    </row>
    <row r="25" spans="1:10" x14ac:dyDescent="0.25">
      <c r="A25" s="8" t="s">
        <v>23</v>
      </c>
      <c r="B25" s="9">
        <v>4</v>
      </c>
      <c r="C25" s="9">
        <v>0</v>
      </c>
      <c r="D25" s="9">
        <v>2</v>
      </c>
      <c r="E25" s="9">
        <v>2</v>
      </c>
      <c r="F25" s="9">
        <v>0</v>
      </c>
      <c r="G25" s="9">
        <v>2</v>
      </c>
      <c r="H25" s="9">
        <v>0</v>
      </c>
      <c r="I25" s="9">
        <v>6</v>
      </c>
      <c r="J25" s="9">
        <v>0</v>
      </c>
    </row>
    <row r="26" spans="1:10" x14ac:dyDescent="0.25">
      <c r="A26" s="8" t="s">
        <v>24</v>
      </c>
      <c r="B26" s="9">
        <v>2</v>
      </c>
      <c r="C26" s="9">
        <v>0</v>
      </c>
      <c r="D26" s="9">
        <v>4</v>
      </c>
      <c r="E26" s="9">
        <v>4</v>
      </c>
      <c r="F26" s="9">
        <v>0</v>
      </c>
      <c r="G26" s="9">
        <v>1</v>
      </c>
      <c r="H26" s="9">
        <v>3</v>
      </c>
      <c r="I26" s="9">
        <v>3</v>
      </c>
      <c r="J26" s="9">
        <v>0</v>
      </c>
    </row>
    <row r="28" spans="1:10" x14ac:dyDescent="0.25">
      <c r="A28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/>
  </sheetViews>
  <sheetFormatPr defaultRowHeight="15" x14ac:dyDescent="0.25"/>
  <cols>
    <col min="1" max="1" width="24" customWidth="1"/>
    <col min="2" max="11" width="9" customWidth="1"/>
  </cols>
  <sheetData>
    <row r="1" spans="1:10" ht="18.75" x14ac:dyDescent="0.3">
      <c r="A1" s="1" t="s">
        <v>28</v>
      </c>
    </row>
    <row r="2" spans="1:10" x14ac:dyDescent="0.25">
      <c r="A2" s="2" t="s">
        <v>29</v>
      </c>
    </row>
    <row r="3" spans="1:10" x14ac:dyDescent="0.25">
      <c r="A3" s="2" t="s">
        <v>30</v>
      </c>
    </row>
    <row r="5" spans="1:10" x14ac:dyDescent="0.25">
      <c r="A5" s="3" t="s">
        <v>31</v>
      </c>
    </row>
    <row r="6" spans="1:10" x14ac:dyDescent="0.25">
      <c r="A6" s="4" t="s">
        <v>32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33</v>
      </c>
      <c r="G6" s="4" t="s">
        <v>34</v>
      </c>
    </row>
    <row r="7" spans="1:10" x14ac:dyDescent="0.25">
      <c r="A7" s="5" t="s">
        <v>35</v>
      </c>
      <c r="B7" s="10">
        <v>0.7</v>
      </c>
      <c r="C7" s="10">
        <v>0.3</v>
      </c>
      <c r="D7" s="10">
        <v>0</v>
      </c>
      <c r="E7" s="10">
        <v>0</v>
      </c>
      <c r="F7" s="11">
        <f>SUM(B7:E7)</f>
        <v>1</v>
      </c>
      <c r="G7" t="s">
        <v>36</v>
      </c>
    </row>
    <row r="8" spans="1:10" x14ac:dyDescent="0.25">
      <c r="A8" s="5" t="s">
        <v>37</v>
      </c>
      <c r="B8" s="10">
        <v>0.2</v>
      </c>
      <c r="C8" s="10">
        <v>0.8</v>
      </c>
      <c r="D8" s="10">
        <v>0</v>
      </c>
      <c r="E8" s="10">
        <v>0</v>
      </c>
      <c r="F8" s="11">
        <f>SUM(B8:E8)</f>
        <v>1</v>
      </c>
      <c r="G8" t="s">
        <v>38</v>
      </c>
    </row>
    <row r="9" spans="1:10" x14ac:dyDescent="0.25">
      <c r="A9" s="5" t="s">
        <v>39</v>
      </c>
      <c r="B9" s="10">
        <v>0.3</v>
      </c>
      <c r="C9" s="10">
        <v>0</v>
      </c>
      <c r="D9" s="10">
        <v>0.7</v>
      </c>
      <c r="E9" s="10">
        <v>0</v>
      </c>
      <c r="F9" s="11">
        <f>SUM(B9:E9)</f>
        <v>1</v>
      </c>
      <c r="G9" t="s">
        <v>40</v>
      </c>
    </row>
    <row r="10" spans="1:10" x14ac:dyDescent="0.25">
      <c r="A10" s="5" t="s">
        <v>41</v>
      </c>
      <c r="B10" s="10">
        <v>0</v>
      </c>
      <c r="C10" s="10">
        <v>0.4</v>
      </c>
      <c r="D10" s="10">
        <v>0</v>
      </c>
      <c r="E10" s="10">
        <v>0.6</v>
      </c>
      <c r="F10" s="11">
        <f>SUM(B10:E10)</f>
        <v>1</v>
      </c>
      <c r="G10" t="s">
        <v>42</v>
      </c>
    </row>
    <row r="11" spans="1:10" x14ac:dyDescent="0.25">
      <c r="A11" s="5" t="s">
        <v>43</v>
      </c>
      <c r="B11" s="10">
        <v>0.1</v>
      </c>
      <c r="C11" s="10">
        <v>0.3</v>
      </c>
      <c r="D11" s="10">
        <v>0.3</v>
      </c>
      <c r="E11" s="10">
        <v>0.3</v>
      </c>
      <c r="F11" s="11">
        <f>SUM(B11:E11)</f>
        <v>1</v>
      </c>
      <c r="G11" t="s">
        <v>44</v>
      </c>
    </row>
    <row r="13" spans="1:10" x14ac:dyDescent="0.25">
      <c r="A13" s="3" t="s">
        <v>45</v>
      </c>
    </row>
    <row r="14" spans="1:10" x14ac:dyDescent="0.25">
      <c r="A14" s="7" t="s">
        <v>46</v>
      </c>
    </row>
    <row r="15" spans="1:10" x14ac:dyDescent="0.25">
      <c r="A15" s="4" t="s">
        <v>32</v>
      </c>
      <c r="B15" s="4" t="s">
        <v>5</v>
      </c>
      <c r="C15" s="4" t="s">
        <v>6</v>
      </c>
      <c r="D15" s="4" t="s">
        <v>7</v>
      </c>
      <c r="E15" s="4" t="s">
        <v>8</v>
      </c>
      <c r="F15" s="4" t="s">
        <v>9</v>
      </c>
      <c r="G15" s="4" t="s">
        <v>10</v>
      </c>
      <c r="H15" s="4" t="s">
        <v>11</v>
      </c>
      <c r="I15" s="4" t="s">
        <v>12</v>
      </c>
      <c r="J15" s="4" t="s">
        <v>13</v>
      </c>
    </row>
    <row r="16" spans="1:10" x14ac:dyDescent="0.25">
      <c r="A16" s="8" t="s">
        <v>35</v>
      </c>
      <c r="B16" s="12">
        <f t="array" ref="B16:J20">MMULT($B$7:$E$11,'1 Templates'!$B$23:$J$26)</f>
        <v>2.3999999999999995</v>
      </c>
      <c r="C16" s="12">
        <v>2.3999999999999995</v>
      </c>
      <c r="D16" s="12">
        <v>1.2</v>
      </c>
      <c r="E16" s="12">
        <v>0.6</v>
      </c>
      <c r="F16" s="12">
        <v>0.6</v>
      </c>
      <c r="G16" s="12">
        <v>0</v>
      </c>
      <c r="H16" s="12">
        <v>0.6</v>
      </c>
      <c r="I16" s="12">
        <v>2.3999999999999995</v>
      </c>
      <c r="J16" s="12">
        <v>2.9999999999999996</v>
      </c>
    </row>
    <row r="17" spans="1:10" x14ac:dyDescent="0.25">
      <c r="A17" s="8" t="s">
        <v>37</v>
      </c>
      <c r="B17" s="12">
        <v>1.4000000000000001</v>
      </c>
      <c r="C17" s="12">
        <v>1.4000000000000001</v>
      </c>
      <c r="D17" s="12">
        <v>3.2</v>
      </c>
      <c r="E17" s="12">
        <v>1.6</v>
      </c>
      <c r="F17" s="12">
        <v>1.6</v>
      </c>
      <c r="G17" s="12">
        <v>0</v>
      </c>
      <c r="H17" s="12">
        <v>1.6</v>
      </c>
      <c r="I17" s="12">
        <v>1.4000000000000001</v>
      </c>
      <c r="J17" s="12">
        <v>3.0000000000000004</v>
      </c>
    </row>
    <row r="18" spans="1:10" x14ac:dyDescent="0.25">
      <c r="A18" s="8" t="s">
        <v>39</v>
      </c>
      <c r="B18" s="12">
        <v>3.6999999999999997</v>
      </c>
      <c r="C18" s="12">
        <v>0.89999999999999991</v>
      </c>
      <c r="D18" s="12">
        <v>1.4</v>
      </c>
      <c r="E18" s="12">
        <v>1.4</v>
      </c>
      <c r="F18" s="12">
        <v>0</v>
      </c>
      <c r="G18" s="12">
        <v>1.4</v>
      </c>
      <c r="H18" s="12">
        <v>0</v>
      </c>
      <c r="I18" s="12">
        <v>5.0999999999999996</v>
      </c>
      <c r="J18" s="12">
        <v>0.89999999999999991</v>
      </c>
    </row>
    <row r="19" spans="1:10" x14ac:dyDescent="0.25">
      <c r="A19" s="8" t="s">
        <v>41</v>
      </c>
      <c r="B19" s="12">
        <v>1.6</v>
      </c>
      <c r="C19" s="12">
        <v>0.4</v>
      </c>
      <c r="D19" s="12">
        <v>4</v>
      </c>
      <c r="E19" s="12">
        <v>3.2</v>
      </c>
      <c r="F19" s="12">
        <v>0.8</v>
      </c>
      <c r="G19" s="12">
        <v>0.6</v>
      </c>
      <c r="H19" s="12">
        <v>2.5999999999999996</v>
      </c>
      <c r="I19" s="12">
        <v>2.1999999999999997</v>
      </c>
      <c r="J19" s="12">
        <v>1.2000000000000002</v>
      </c>
    </row>
    <row r="20" spans="1:10" x14ac:dyDescent="0.25">
      <c r="A20" s="8" t="s">
        <v>43</v>
      </c>
      <c r="B20" s="12">
        <v>2.4</v>
      </c>
      <c r="C20" s="12">
        <v>0.60000000000000009</v>
      </c>
      <c r="D20" s="12">
        <v>3</v>
      </c>
      <c r="E20" s="12">
        <v>2.4</v>
      </c>
      <c r="F20" s="12">
        <v>0.6</v>
      </c>
      <c r="G20" s="12">
        <v>0.89999999999999991</v>
      </c>
      <c r="H20" s="12">
        <v>1.5</v>
      </c>
      <c r="I20" s="12">
        <v>3.3</v>
      </c>
      <c r="J20" s="12">
        <v>1.2</v>
      </c>
    </row>
    <row r="21" spans="1:10" x14ac:dyDescent="0.25">
      <c r="A21" s="8" t="s">
        <v>47</v>
      </c>
      <c r="B21" s="6">
        <v>1</v>
      </c>
      <c r="C21" s="6">
        <v>1</v>
      </c>
      <c r="D21" s="6">
        <v>1</v>
      </c>
      <c r="E21" s="6">
        <v>1</v>
      </c>
      <c r="F21" s="6">
        <v>0</v>
      </c>
      <c r="G21" s="6">
        <v>0</v>
      </c>
      <c r="H21" s="6">
        <v>1</v>
      </c>
      <c r="I21" s="6">
        <v>1</v>
      </c>
      <c r="J21" s="6">
        <v>1</v>
      </c>
    </row>
    <row r="22" spans="1:10" x14ac:dyDescent="0.25">
      <c r="A22" s="2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workbookViewId="0"/>
  </sheetViews>
  <sheetFormatPr defaultRowHeight="15" x14ac:dyDescent="0.25"/>
  <cols>
    <col min="1" max="1" width="26" customWidth="1"/>
    <col min="2" max="11" width="12" customWidth="1"/>
  </cols>
  <sheetData>
    <row r="1" spans="1:5" ht="18.75" x14ac:dyDescent="0.3">
      <c r="A1" s="1" t="s">
        <v>49</v>
      </c>
    </row>
    <row r="2" spans="1:5" x14ac:dyDescent="0.25">
      <c r="A2" s="2" t="s">
        <v>50</v>
      </c>
    </row>
    <row r="3" spans="1:5" x14ac:dyDescent="0.25">
      <c r="A3" s="2" t="s">
        <v>51</v>
      </c>
    </row>
    <row r="4" spans="1:5" x14ac:dyDescent="0.25">
      <c r="A4" s="2" t="s">
        <v>52</v>
      </c>
    </row>
    <row r="6" spans="1:5" x14ac:dyDescent="0.25">
      <c r="A6" s="3" t="s">
        <v>53</v>
      </c>
    </row>
    <row r="7" spans="1:5" x14ac:dyDescent="0.25">
      <c r="A7" s="7" t="s">
        <v>54</v>
      </c>
    </row>
    <row r="8" spans="1:5" x14ac:dyDescent="0.25">
      <c r="A8" s="4" t="s">
        <v>32</v>
      </c>
      <c r="B8" s="4" t="s">
        <v>21</v>
      </c>
      <c r="C8" s="4" t="s">
        <v>22</v>
      </c>
      <c r="D8" s="4" t="s">
        <v>23</v>
      </c>
      <c r="E8" s="4" t="s">
        <v>24</v>
      </c>
    </row>
    <row r="9" spans="1:5" x14ac:dyDescent="0.25">
      <c r="A9" s="5" t="s">
        <v>35</v>
      </c>
      <c r="B9" s="13">
        <f>MAX(0,SUMPRODUCT('2 Observations'!$B$21:$J$21,'2 Observations'!$B$16:$J$16,'1 Templates'!$B$23:$J$23)/SUMPRODUCT('2 Observations'!$B$21:$J$21,'1 Templates'!$B$23:$J$23,'1 Templates'!$B$23:$J$23))</f>
        <v>0.84999999999999987</v>
      </c>
      <c r="C9" s="13">
        <f>MAX(0,SUMPRODUCT('2 Observations'!$B$21:$J$21,'2 Observations'!$B$16:$J$16,'1 Templates'!$B$24:$J$24)/SUMPRODUCT('2 Observations'!$B$21:$J$21,'1 Templates'!$B$24:$J$24,'1 Templates'!$B$24:$J$24))</f>
        <v>0.6499999999999998</v>
      </c>
      <c r="D9" s="13">
        <f>MAX(0,SUMPRODUCT('2 Observations'!$B$21:$J$21,'2 Observations'!$B$16:$J$16,'1 Templates'!$B$25:$J$25)/SUMPRODUCT('2 Observations'!$B$21:$J$21,'1 Templates'!$B$25:$J$25,'1 Templates'!$B$25:$J$25))</f>
        <v>0.45999999999999991</v>
      </c>
      <c r="E9" s="13">
        <f>MAX(0,SUMPRODUCT('2 Observations'!$B$21:$J$21,'2 Observations'!$B$16:$J$16,'1 Templates'!$B$26:$J$26)/SUMPRODUCT('2 Observations'!$B$21:$J$21,'1 Templates'!$B$26:$J$26,'1 Templates'!$B$26:$J$26))</f>
        <v>0.38888888888888884</v>
      </c>
    </row>
    <row r="10" spans="1:5" x14ac:dyDescent="0.25">
      <c r="A10" s="5" t="s">
        <v>37</v>
      </c>
      <c r="B10" s="13">
        <f>MAX(0,SUMPRODUCT('2 Observations'!$B$21:$J$21,'2 Observations'!$B$17:$J$17,'1 Templates'!$B$23:$J$23)/SUMPRODUCT('2 Observations'!$B$21:$J$21,'1 Templates'!$B$23:$J$23,'1 Templates'!$B$23:$J$23))</f>
        <v>0.60000000000000009</v>
      </c>
      <c r="C10" s="13">
        <f>MAX(0,SUMPRODUCT('2 Observations'!$B$21:$J$21,'2 Observations'!$B$17:$J$17,'1 Templates'!$B$24:$J$24)/SUMPRODUCT('2 Observations'!$B$21:$J$21,'1 Templates'!$B$24:$J$24,'1 Templates'!$B$24:$J$24))</f>
        <v>0.89999999999999991</v>
      </c>
      <c r="D10" s="13">
        <f>MAX(0,SUMPRODUCT('2 Observations'!$B$21:$J$21,'2 Observations'!$B$17:$J$17,'1 Templates'!$B$25:$J$25)/SUMPRODUCT('2 Observations'!$B$21:$J$21,'1 Templates'!$B$25:$J$25,'1 Templates'!$B$25:$J$25))</f>
        <v>0.39333333333333337</v>
      </c>
      <c r="E10" s="13">
        <f>MAX(0,SUMPRODUCT('2 Observations'!$B$21:$J$21,'2 Observations'!$B$17:$J$17,'1 Templates'!$B$26:$J$26)/SUMPRODUCT('2 Observations'!$B$21:$J$21,'1 Templates'!$B$26:$J$26,'1 Templates'!$B$26:$J$26))</f>
        <v>0.57407407407407407</v>
      </c>
    </row>
    <row r="11" spans="1:5" x14ac:dyDescent="0.25">
      <c r="A11" s="5" t="s">
        <v>39</v>
      </c>
      <c r="B11" s="13">
        <f>MAX(0,SUMPRODUCT('2 Observations'!$B$21:$J$21,'2 Observations'!$B$18:$J$18,'1 Templates'!$B$23:$J$23)/SUMPRODUCT('2 Observations'!$B$21:$J$21,'1 Templates'!$B$23:$J$23,'1 Templates'!$B$23:$J$23))</f>
        <v>0.8833333333333333</v>
      </c>
      <c r="C11" s="13">
        <f>MAX(0,SUMPRODUCT('2 Observations'!$B$21:$J$21,'2 Observations'!$B$18:$J$18,'1 Templates'!$B$24:$J$24)/SUMPRODUCT('2 Observations'!$B$21:$J$21,'1 Templates'!$B$24:$J$24,'1 Templates'!$B$24:$J$24))</f>
        <v>0.57777777777777783</v>
      </c>
      <c r="D11" s="13">
        <f>MAX(0,SUMPRODUCT('2 Observations'!$B$21:$J$21,'2 Observations'!$B$18:$J$18,'1 Templates'!$B$25:$J$25)/SUMPRODUCT('2 Observations'!$B$21:$J$21,'1 Templates'!$B$25:$J$25,'1 Templates'!$B$25:$J$25))</f>
        <v>0.85</v>
      </c>
      <c r="E11" s="13">
        <f>MAX(0,SUMPRODUCT('2 Observations'!$B$21:$J$21,'2 Observations'!$B$18:$J$18,'1 Templates'!$B$26:$J$26)/SUMPRODUCT('2 Observations'!$B$21:$J$21,'1 Templates'!$B$26:$J$26,'1 Templates'!$B$26:$J$26))</f>
        <v>0.62777777777777777</v>
      </c>
    </row>
    <row r="12" spans="1:5" x14ac:dyDescent="0.25">
      <c r="A12" s="5" t="s">
        <v>41</v>
      </c>
      <c r="B12" s="13">
        <f>MAX(0,SUMPRODUCT('2 Observations'!$B$21:$J$21,'2 Observations'!$B$19:$J$19,'1 Templates'!$B$23:$J$23)/SUMPRODUCT('2 Observations'!$B$21:$J$21,'1 Templates'!$B$23:$J$23,'1 Templates'!$B$23:$J$23))</f>
        <v>0.45000000000000007</v>
      </c>
      <c r="C12" s="13">
        <f>MAX(0,SUMPRODUCT('2 Observations'!$B$21:$J$21,'2 Observations'!$B$19:$J$19,'1 Templates'!$B$24:$J$24)/SUMPRODUCT('2 Observations'!$B$21:$J$21,'1 Templates'!$B$24:$J$24,'1 Templates'!$B$24:$J$24))</f>
        <v>0.98333333333333328</v>
      </c>
      <c r="D12" s="13">
        <f>MAX(0,SUMPRODUCT('2 Observations'!$B$21:$J$21,'2 Observations'!$B$19:$J$19,'1 Templates'!$B$25:$J$25)/SUMPRODUCT('2 Observations'!$B$21:$J$21,'1 Templates'!$B$25:$J$25,'1 Templates'!$B$25:$J$25))</f>
        <v>0.56666666666666665</v>
      </c>
      <c r="E12" s="13">
        <f>MAX(0,SUMPRODUCT('2 Observations'!$B$21:$J$21,'2 Observations'!$B$19:$J$19,'1 Templates'!$B$26:$J$26)/SUMPRODUCT('2 Observations'!$B$21:$J$21,'1 Templates'!$B$26:$J$26,'1 Templates'!$B$26:$J$26))</f>
        <v>0.85925925925925928</v>
      </c>
    </row>
    <row r="13" spans="1:5" x14ac:dyDescent="0.25">
      <c r="A13" s="5" t="s">
        <v>43</v>
      </c>
      <c r="B13" s="13">
        <f>MAX(0,SUMPRODUCT('2 Observations'!$B$21:$J$21,'2 Observations'!$B$20:$J$20,'1 Templates'!$B$23:$J$23)/SUMPRODUCT('2 Observations'!$B$21:$J$21,'1 Templates'!$B$23:$J$23,'1 Templates'!$B$23:$J$23))</f>
        <v>0.625</v>
      </c>
      <c r="C13" s="13">
        <f>MAX(0,SUMPRODUCT('2 Observations'!$B$21:$J$21,'2 Observations'!$B$20:$J$20,'1 Templates'!$B$24:$J$24)/SUMPRODUCT('2 Observations'!$B$21:$J$21,'1 Templates'!$B$24:$J$24,'1 Templates'!$B$24:$J$24))</f>
        <v>0.82500000000000007</v>
      </c>
      <c r="D13" s="13">
        <f>MAX(0,SUMPRODUCT('2 Observations'!$B$21:$J$21,'2 Observations'!$B$20:$J$20,'1 Templates'!$B$25:$J$25)/SUMPRODUCT('2 Observations'!$B$21:$J$21,'1 Templates'!$B$25:$J$25,'1 Templates'!$B$25:$J$25))</f>
        <v>0.66999999999999993</v>
      </c>
      <c r="E13" s="13">
        <f>MAX(0,SUMPRODUCT('2 Observations'!$B$21:$J$21,'2 Observations'!$B$20:$J$20,'1 Templates'!$B$26:$J$26)/SUMPRODUCT('2 Observations'!$B$21:$J$21,'1 Templates'!$B$26:$J$26,'1 Templates'!$B$26:$J$26))</f>
        <v>0.75555555555555554</v>
      </c>
    </row>
    <row r="15" spans="1:5" x14ac:dyDescent="0.25">
      <c r="A15" s="3" t="s">
        <v>55</v>
      </c>
    </row>
    <row r="16" spans="1:5" x14ac:dyDescent="0.25">
      <c r="A16" s="7" t="s">
        <v>56</v>
      </c>
    </row>
    <row r="17" spans="1:5" x14ac:dyDescent="0.25">
      <c r="A17" s="4" t="s">
        <v>32</v>
      </c>
      <c r="B17" s="4" t="s">
        <v>21</v>
      </c>
      <c r="C17" s="4" t="s">
        <v>22</v>
      </c>
      <c r="D17" s="4" t="s">
        <v>23</v>
      </c>
      <c r="E17" s="4" t="s">
        <v>24</v>
      </c>
    </row>
    <row r="18" spans="1:5" x14ac:dyDescent="0.25">
      <c r="A18" s="8" t="s">
        <v>35</v>
      </c>
      <c r="B18" s="13">
        <f t="array" ref="B18:E22">MMULT(MMULT('2 Observations'!$B$16:$J$20*'2 Observations'!$B$21:$J$21,TRANSPOSE('1 Templates'!$B$23:$J$26*'2 Observations'!$B$21:$J$21)),MINVERSE(MMULT('1 Templates'!$B$23:$J$26*'2 Observations'!$B$21:$J$21,TRANSPOSE('1 Templates'!$B$23:$J$26*'2 Observations'!$B$21:$J$21))))</f>
        <v>0.70000000000000018</v>
      </c>
      <c r="C18" s="13">
        <v>0.29999999999999893</v>
      </c>
      <c r="D18" s="13">
        <v>-4.4408920985006262E-16</v>
      </c>
      <c r="E18" s="13">
        <v>8.8817841970012523E-16</v>
      </c>
    </row>
    <row r="19" spans="1:5" x14ac:dyDescent="0.25">
      <c r="A19" s="8" t="s">
        <v>37</v>
      </c>
      <c r="B19" s="13">
        <v>0.20000000000000062</v>
      </c>
      <c r="C19" s="13">
        <v>0.79999999999999982</v>
      </c>
      <c r="D19" s="13">
        <v>0</v>
      </c>
      <c r="E19" s="13">
        <v>0</v>
      </c>
    </row>
    <row r="20" spans="1:5" x14ac:dyDescent="0.25">
      <c r="A20" s="8" t="s">
        <v>39</v>
      </c>
      <c r="B20" s="13">
        <v>0.29999999999999982</v>
      </c>
      <c r="C20" s="13">
        <v>8.8817841970012523E-16</v>
      </c>
      <c r="D20" s="13">
        <v>0.70000000000000018</v>
      </c>
      <c r="E20" s="13">
        <v>-1.7763568394002505E-15</v>
      </c>
    </row>
    <row r="21" spans="1:5" x14ac:dyDescent="0.25">
      <c r="A21" s="8" t="s">
        <v>41</v>
      </c>
      <c r="B21" s="13">
        <v>1.7763568394002505E-15</v>
      </c>
      <c r="C21" s="13">
        <v>0.40000000000000036</v>
      </c>
      <c r="D21" s="13">
        <v>-8.8817841970012523E-16</v>
      </c>
      <c r="E21" s="13">
        <v>0.59999999999999964</v>
      </c>
    </row>
    <row r="22" spans="1:5" x14ac:dyDescent="0.25">
      <c r="A22" s="8" t="s">
        <v>43</v>
      </c>
      <c r="B22" s="13">
        <v>0.10000000000000053</v>
      </c>
      <c r="C22" s="13">
        <v>0.29999999999999982</v>
      </c>
      <c r="D22" s="13">
        <v>0.29999999999999982</v>
      </c>
      <c r="E22" s="13">
        <v>0.30000000000000071</v>
      </c>
    </row>
    <row r="24" spans="1:5" x14ac:dyDescent="0.25">
      <c r="A24" s="3" t="s">
        <v>57</v>
      </c>
    </row>
    <row r="25" spans="1:5" x14ac:dyDescent="0.25">
      <c r="A25" s="7" t="s">
        <v>58</v>
      </c>
    </row>
    <row r="26" spans="1:5" x14ac:dyDescent="0.25">
      <c r="A26" s="4" t="s">
        <v>59</v>
      </c>
      <c r="B26" s="4" t="s">
        <v>60</v>
      </c>
      <c r="C26" s="4" t="s">
        <v>61</v>
      </c>
      <c r="D26" s="4" t="s">
        <v>62</v>
      </c>
    </row>
    <row r="27" spans="1:5" x14ac:dyDescent="0.25">
      <c r="A27" s="8" t="s">
        <v>63</v>
      </c>
      <c r="B27" s="13">
        <f t="array" ref="B27">SQRT(SUMPRODUCT(('2 Observations'!$B$16:$J$20-($B$9:$B$13)*'1 Templates'!$B$23:$J$23)^2)/45)</f>
        <v>1.4908424165924148</v>
      </c>
      <c r="C27" s="13">
        <f t="array" ref="C27">SUMPRODUCT(ABS('2 Observations'!$B$16:$J$20-($B$9:$B$13)*'1 Templates'!$B$23:$J$23))/45</f>
        <v>1.1377777777777776</v>
      </c>
      <c r="D27" s="14">
        <f t="array" ref="D27">SUMPRODUCT(('2 Observations'!$B$16:$J$20&gt;0)*ABS('2 Observations'!$B$16:$J$20-($B$9:$B$13)*'1 Templates'!$B$23:$J$23)/('2 Observations'!$B$16:$J$20+('2 Observations'!$B$16:$J$20=0))/(MMULT(--('2 Observations'!$B$16:$J$20&gt;0),TRANSPOSE(COLUMN($B$1:$J$1)^0))))/5*100</f>
        <v>82.254021807330631</v>
      </c>
    </row>
    <row r="28" spans="1:5" x14ac:dyDescent="0.25">
      <c r="A28" s="8" t="s">
        <v>64</v>
      </c>
      <c r="B28" s="13">
        <f t="array" ref="B28">SQRT(SUMPRODUCT(('2 Observations'!$B$16:$J$20-($C$9:$C$13)*'1 Templates'!$B$24:$J$24)^2)/45)</f>
        <v>1.2748737800295598</v>
      </c>
      <c r="C28" s="13">
        <f t="array" ref="C28">SUMPRODUCT(ABS('2 Observations'!$B$16:$J$20-($C$9:$C$13)*'1 Templates'!$B$24:$J$24))/45</f>
        <v>0.95185185185185162</v>
      </c>
      <c r="D28" s="14">
        <f t="array" ref="D28">SUMPRODUCT(('2 Observations'!$B$16:$J$20&gt;0)*ABS('2 Observations'!$B$16:$J$20-($C$9:$C$13)*'1 Templates'!$B$24:$J$24)/('2 Observations'!$B$16:$J$20+('2 Observations'!$B$16:$J$20=0))/(MMULT(--('2 Observations'!$B$16:$J$20&gt;0),TRANSPOSE(COLUMN($B$1:$J$1)^0))))/5*100</f>
        <v>65.051433829182443</v>
      </c>
    </row>
    <row r="29" spans="1:5" x14ac:dyDescent="0.25">
      <c r="A29" s="8" t="s">
        <v>65</v>
      </c>
      <c r="B29" s="13">
        <f t="array" ref="B29">SQRT(SUMPRODUCT(('2 Observations'!$B$16:$J$20-($D$9:$D$13)*'1 Templates'!$B$25:$J$25)^2)/45)</f>
        <v>1.2978953523605099</v>
      </c>
      <c r="C29" s="13">
        <f t="array" ref="C29">SUMPRODUCT(ABS('2 Observations'!$B$16:$J$20-($D$9:$D$13)*'1 Templates'!$B$25:$J$25))/45</f>
        <v>1.0040000000000002</v>
      </c>
      <c r="D29" s="14">
        <f t="array" ref="D29">SUMPRODUCT(('2 Observations'!$B$16:$J$20&gt;0)*ABS('2 Observations'!$B$16:$J$20-($D$9:$D$13)*'1 Templates'!$B$25:$J$25)/('2 Observations'!$B$16:$J$20+('2 Observations'!$B$16:$J$20=0))/(MMULT(--('2 Observations'!$B$16:$J$20&gt;0),TRANSPOSE(COLUMN($B$1:$J$1)^0))))/5*100</f>
        <v>64.798290107516294</v>
      </c>
    </row>
    <row r="30" spans="1:5" x14ac:dyDescent="0.25">
      <c r="A30" s="8" t="s">
        <v>66</v>
      </c>
      <c r="B30" s="13">
        <f t="array" ref="B30">SQRT(SUMPRODUCT(('2 Observations'!$B$16:$J$20-($E$9:$E$13)*'1 Templates'!$B$26:$J$26)^2)/45)</f>
        <v>1.2340023087141709</v>
      </c>
      <c r="C30" s="13">
        <f t="array" ref="C30">SUMPRODUCT(ABS('2 Observations'!$B$16:$J$20-($E$9:$E$13)*'1 Templates'!$B$26:$J$26))/45</f>
        <v>0.93748971193415609</v>
      </c>
      <c r="D30" s="14">
        <f t="array" ref="D30">SUMPRODUCT(('2 Observations'!$B$16:$J$20&gt;0)*ABS('2 Observations'!$B$16:$J$20-($E$9:$E$13)*'1 Templates'!$B$26:$J$26)/('2 Observations'!$B$16:$J$20+('2 Observations'!$B$16:$J$20=0))/(MMULT(--('2 Observations'!$B$16:$J$20&gt;0),TRANSPOSE(COLUMN($B$1:$J$1)^0))))/5*100</f>
        <v>62.523065046145121</v>
      </c>
    </row>
    <row r="31" spans="1:5" x14ac:dyDescent="0.25">
      <c r="A31" s="8" t="s">
        <v>67</v>
      </c>
      <c r="B31" s="13">
        <f t="array" ref="B31">SQRT(SUMPRODUCT(('2 Observations'!$B$16:$J$20-MMULT($B$18:$E$22,'1 Templates'!$B$23:$J$26))^2)/45)</f>
        <v>2.1602960913922385E-15</v>
      </c>
      <c r="C31" s="13">
        <f t="array" ref="C31">SUMPRODUCT(ABS('2 Observations'!$B$16:$J$20-MMULT($B$18:$E$22,'1 Templates'!$B$23:$J$26)))/45</f>
        <v>1.6135241291218942E-15</v>
      </c>
      <c r="D31" s="14">
        <f t="array" ref="D31">SUMPRODUCT(('2 Observations'!$B$16:$J$20&gt;0)*ABS('2 Observations'!$B$16:$J$20-MMULT($B$18:$E$22,'1 Templates'!$B$23:$J$26))/('2 Observations'!$B$16:$J$20+('2 Observations'!$B$16:$J$20=0))/(MMULT(--('2 Observations'!$B$16:$J$20&gt;0),TRANSPOSE(COLUMN($B$1:$J$1)^0))))/5*100</f>
        <v>1.3848534470724021E-13</v>
      </c>
    </row>
    <row r="33" spans="1:10" x14ac:dyDescent="0.25">
      <c r="A33" s="3" t="s">
        <v>68</v>
      </c>
    </row>
    <row r="34" spans="1:10" x14ac:dyDescent="0.25">
      <c r="A34" s="7" t="s">
        <v>69</v>
      </c>
    </row>
    <row r="35" spans="1:10" x14ac:dyDescent="0.25">
      <c r="A35" s="4" t="s">
        <v>70</v>
      </c>
      <c r="B35" s="4" t="s">
        <v>5</v>
      </c>
      <c r="C35" s="4" t="s">
        <v>6</v>
      </c>
      <c r="D35" s="4" t="s">
        <v>7</v>
      </c>
      <c r="E35" s="4" t="s">
        <v>8</v>
      </c>
      <c r="F35" s="4" t="s">
        <v>9</v>
      </c>
      <c r="G35" s="4" t="s">
        <v>10</v>
      </c>
      <c r="H35" s="4" t="s">
        <v>11</v>
      </c>
      <c r="I35" s="4" t="s">
        <v>12</v>
      </c>
      <c r="J35" s="4" t="s">
        <v>13</v>
      </c>
    </row>
    <row r="36" spans="1:10" x14ac:dyDescent="0.25">
      <c r="A36" s="8" t="s">
        <v>71</v>
      </c>
      <c r="B36" s="15">
        <f>'2 Observations'!B20</f>
        <v>2.4</v>
      </c>
      <c r="C36" s="15">
        <f>'2 Observations'!C20</f>
        <v>0.60000000000000009</v>
      </c>
      <c r="D36" s="15">
        <f>'2 Observations'!D20</f>
        <v>3</v>
      </c>
      <c r="E36" s="15">
        <f>'2 Observations'!E20</f>
        <v>2.4</v>
      </c>
      <c r="F36" s="15">
        <f>'2 Observations'!F20</f>
        <v>0.6</v>
      </c>
      <c r="G36" s="15">
        <f>'2 Observations'!G20</f>
        <v>0.89999999999999991</v>
      </c>
      <c r="H36" s="15">
        <f>'2 Observations'!H20</f>
        <v>1.5</v>
      </c>
      <c r="I36" s="15">
        <f>'2 Observations'!I20</f>
        <v>3.3</v>
      </c>
      <c r="J36" s="15">
        <f>'2 Observations'!J20</f>
        <v>1.2</v>
      </c>
    </row>
    <row r="37" spans="1:10" x14ac:dyDescent="0.25">
      <c r="A37" s="8" t="s">
        <v>72</v>
      </c>
      <c r="B37" s="14">
        <f>$B$13*'1 Templates'!B23</f>
        <v>1.875</v>
      </c>
      <c r="C37" s="14">
        <f>$B$13*'1 Templates'!C23</f>
        <v>1.875</v>
      </c>
      <c r="D37" s="14">
        <f>$B$13*'1 Templates'!D23</f>
        <v>0</v>
      </c>
      <c r="E37" s="14">
        <f>$B$13*'1 Templates'!E23</f>
        <v>0</v>
      </c>
      <c r="F37" s="14">
        <f>$B$13*'1 Templates'!F23</f>
        <v>0</v>
      </c>
      <c r="G37" s="14">
        <f>$B$13*'1 Templates'!G23</f>
        <v>0</v>
      </c>
      <c r="H37" s="14">
        <f>$B$13*'1 Templates'!H23</f>
        <v>0</v>
      </c>
      <c r="I37" s="14">
        <f>$B$13*'1 Templates'!I23</f>
        <v>1.875</v>
      </c>
      <c r="J37" s="14">
        <f>$B$13*'1 Templates'!J23</f>
        <v>1.875</v>
      </c>
    </row>
    <row r="38" spans="1:10" x14ac:dyDescent="0.25">
      <c r="A38" s="8" t="s">
        <v>73</v>
      </c>
      <c r="B38" s="14">
        <f>$C$13*'1 Templates'!B24</f>
        <v>0.82500000000000007</v>
      </c>
      <c r="C38" s="14">
        <f>$C$13*'1 Templates'!C24</f>
        <v>0.82500000000000007</v>
      </c>
      <c r="D38" s="14">
        <f>$C$13*'1 Templates'!D24</f>
        <v>3.3000000000000003</v>
      </c>
      <c r="E38" s="14">
        <f>$C$13*'1 Templates'!E24</f>
        <v>1.6500000000000001</v>
      </c>
      <c r="F38" s="14">
        <f>$C$13*'1 Templates'!F24</f>
        <v>1.6500000000000001</v>
      </c>
      <c r="G38" s="14">
        <f>$C$13*'1 Templates'!G24</f>
        <v>0</v>
      </c>
      <c r="H38" s="14">
        <f>$C$13*'1 Templates'!H24</f>
        <v>1.6500000000000001</v>
      </c>
      <c r="I38" s="14">
        <f>$C$13*'1 Templates'!I24</f>
        <v>0.82500000000000007</v>
      </c>
      <c r="J38" s="14">
        <f>$C$13*'1 Templates'!J24</f>
        <v>2.4750000000000001</v>
      </c>
    </row>
    <row r="39" spans="1:10" x14ac:dyDescent="0.25">
      <c r="A39" s="8" t="s">
        <v>74</v>
      </c>
      <c r="B39" s="14">
        <f>$D$13*'1 Templates'!B25</f>
        <v>2.6799999999999997</v>
      </c>
      <c r="C39" s="14">
        <f>$D$13*'1 Templates'!C25</f>
        <v>0</v>
      </c>
      <c r="D39" s="14">
        <f>$D$13*'1 Templates'!D25</f>
        <v>1.3399999999999999</v>
      </c>
      <c r="E39" s="14">
        <f>$D$13*'1 Templates'!E25</f>
        <v>1.3399999999999999</v>
      </c>
      <c r="F39" s="14">
        <f>$D$13*'1 Templates'!F25</f>
        <v>0</v>
      </c>
      <c r="G39" s="14">
        <f>$D$13*'1 Templates'!G25</f>
        <v>1.3399999999999999</v>
      </c>
      <c r="H39" s="14">
        <f>$D$13*'1 Templates'!H25</f>
        <v>0</v>
      </c>
      <c r="I39" s="14">
        <f>$D$13*'1 Templates'!I25</f>
        <v>4.0199999999999996</v>
      </c>
      <c r="J39" s="14">
        <f>$D$13*'1 Templates'!J25</f>
        <v>0</v>
      </c>
    </row>
    <row r="40" spans="1:10" x14ac:dyDescent="0.25">
      <c r="A40" s="8" t="s">
        <v>75</v>
      </c>
      <c r="B40" s="14">
        <f>$E$13*'1 Templates'!B26</f>
        <v>1.5111111111111111</v>
      </c>
      <c r="C40" s="14">
        <f>$E$13*'1 Templates'!C26</f>
        <v>0</v>
      </c>
      <c r="D40" s="14">
        <f>$E$13*'1 Templates'!D26</f>
        <v>3.0222222222222221</v>
      </c>
      <c r="E40" s="14">
        <f>$E$13*'1 Templates'!E26</f>
        <v>3.0222222222222221</v>
      </c>
      <c r="F40" s="14">
        <f>$E$13*'1 Templates'!F26</f>
        <v>0</v>
      </c>
      <c r="G40" s="14">
        <f>$E$13*'1 Templates'!G26</f>
        <v>0.75555555555555554</v>
      </c>
      <c r="H40" s="14">
        <f>$E$13*'1 Templates'!H26</f>
        <v>2.2666666666666666</v>
      </c>
      <c r="I40" s="14">
        <f>$E$13*'1 Templates'!I26</f>
        <v>2.2666666666666666</v>
      </c>
      <c r="J40" s="14">
        <f>$E$13*'1 Templates'!J26</f>
        <v>0</v>
      </c>
    </row>
    <row r="41" spans="1:10" x14ac:dyDescent="0.25">
      <c r="A41" s="8" t="s">
        <v>76</v>
      </c>
      <c r="B41" s="14">
        <f t="array" ref="B41:J41">MMULT($B$22:$E$22,'1 Templates'!$B$23:$J$26)</f>
        <v>2.4000000000000021</v>
      </c>
      <c r="C41" s="14">
        <v>0.60000000000000142</v>
      </c>
      <c r="D41" s="14">
        <v>3.0000000000000018</v>
      </c>
      <c r="E41" s="14">
        <v>2.4000000000000021</v>
      </c>
      <c r="F41" s="14">
        <v>0.59999999999999964</v>
      </c>
      <c r="G41" s="14">
        <v>0.90000000000000036</v>
      </c>
      <c r="H41" s="14">
        <v>1.5000000000000018</v>
      </c>
      <c r="I41" s="14">
        <v>3.3000000000000025</v>
      </c>
      <c r="J41" s="14">
        <v>1.2000000000000011</v>
      </c>
    </row>
    <row r="42" spans="1:10" x14ac:dyDescent="0.25">
      <c r="A42" s="16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Templates</vt:lpstr>
      <vt:lpstr>2 Observations</vt:lpstr>
      <vt:lpstr>3 Estimation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Wu</cp:lastModifiedBy>
  <dcterms:created xsi:type="dcterms:W3CDTF">2026-10-04T00:43:45Z</dcterms:created>
  <dcterms:modified xsi:type="dcterms:W3CDTF">2026-10-04T00:43:50Z</dcterms:modified>
</cp:coreProperties>
</file>