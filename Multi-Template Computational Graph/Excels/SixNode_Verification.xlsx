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twork &amp; Templates" sheetId="1" state="visible" r:id="rId1"/>
    <sheet xmlns:r="http://schemas.openxmlformats.org/officeDocument/2006/relationships" name="Conic Combinations" sheetId="2" state="visible" r:id="rId2"/>
    <sheet xmlns:r="http://schemas.openxmlformats.org/officeDocument/2006/relationships" name="Performance Metric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0000AA"/>
    </font>
    <font>
      <i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0" pivotButton="0" quotePrefix="0" xfId="0"/>
    <xf numFmtId="164" fontId="0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Six-Node Network — Template Verification</t>
        </is>
      </c>
    </row>
    <row r="3">
      <c r="A3" s="2" t="inlineStr">
        <is>
          <t>Network: V = {1,2,3,4,5,6}, 9 links, OD pair (1→4), demand d = 6</t>
        </is>
      </c>
    </row>
    <row r="4">
      <c r="A4" t="inlineStr">
        <is>
          <t>Paths:</t>
        </is>
      </c>
      <c r="B4" t="inlineStr">
        <is>
          <t>P1: 1→3→4 (l1,l8; cost 4)</t>
        </is>
      </c>
    </row>
    <row r="5">
      <c r="B5" t="inlineStr">
        <is>
          <t>P2: 1→2→4 (l2,l9; cost 4)</t>
        </is>
      </c>
    </row>
    <row r="6">
      <c r="B6" t="inlineStr">
        <is>
          <t>P3: 1→5→6→4 (l3,l4,l7; cost 5)</t>
        </is>
      </c>
    </row>
    <row r="7">
      <c r="B7" t="inlineStr">
        <is>
          <t>P4: 1→5→2→4 (l3,l5,l9; cost 5)</t>
        </is>
      </c>
    </row>
    <row r="8">
      <c r="B8" t="inlineStr">
        <is>
          <t>P5: 1→5→6→3→4 (l3,l4,l6,l8; cost 6)</t>
        </is>
      </c>
    </row>
    <row r="10">
      <c r="A10" s="3" t="inlineStr">
        <is>
          <t>Path-Link Incidence Matrix A (9×5)</t>
        </is>
      </c>
    </row>
    <row r="11">
      <c r="A11" s="4" t="inlineStr">
        <is>
          <t>Link</t>
        </is>
      </c>
      <c r="B11" s="4" t="inlineStr">
        <is>
          <t>P1</t>
        </is>
      </c>
      <c r="C11" s="4" t="inlineStr">
        <is>
          <t>P2</t>
        </is>
      </c>
      <c r="D11" s="4" t="inlineStr">
        <is>
          <t>P3</t>
        </is>
      </c>
      <c r="E11" s="4" t="inlineStr">
        <is>
          <t>P4</t>
        </is>
      </c>
      <c r="F11" s="4" t="inlineStr">
        <is>
          <t>P5</t>
        </is>
      </c>
    </row>
    <row r="12">
      <c r="A12" s="5" t="inlineStr">
        <is>
          <t>l1 (1→3)</t>
        </is>
      </c>
      <c r="B12" s="5" t="n">
        <v>1</v>
      </c>
      <c r="C12" s="5" t="n">
        <v>0</v>
      </c>
      <c r="D12" s="5" t="n">
        <v>0</v>
      </c>
      <c r="E12" s="5" t="n">
        <v>0</v>
      </c>
      <c r="F12" s="5" t="n">
        <v>0</v>
      </c>
    </row>
    <row r="13">
      <c r="A13" s="5" t="inlineStr">
        <is>
          <t>l2 (1→2)</t>
        </is>
      </c>
      <c r="B13" s="5" t="n">
        <v>0</v>
      </c>
      <c r="C13" s="5" t="n">
        <v>1</v>
      </c>
      <c r="D13" s="5" t="n">
        <v>0</v>
      </c>
      <c r="E13" s="5" t="n">
        <v>0</v>
      </c>
      <c r="F13" s="5" t="n">
        <v>0</v>
      </c>
    </row>
    <row r="14">
      <c r="A14" s="5" t="inlineStr">
        <is>
          <t>l3 (1→5)</t>
        </is>
      </c>
      <c r="B14" s="5" t="n">
        <v>0</v>
      </c>
      <c r="C14" s="5" t="n">
        <v>0</v>
      </c>
      <c r="D14" s="5" t="n">
        <v>1</v>
      </c>
      <c r="E14" s="5" t="n">
        <v>1</v>
      </c>
      <c r="F14" s="5" t="n">
        <v>1</v>
      </c>
    </row>
    <row r="15">
      <c r="A15" s="5" t="inlineStr">
        <is>
          <t>l4 (5→6)</t>
        </is>
      </c>
      <c r="B15" s="5" t="n">
        <v>0</v>
      </c>
      <c r="C15" s="5" t="n">
        <v>0</v>
      </c>
      <c r="D15" s="5" t="n">
        <v>1</v>
      </c>
      <c r="E15" s="5" t="n">
        <v>0</v>
      </c>
      <c r="F15" s="5" t="n">
        <v>1</v>
      </c>
    </row>
    <row r="16">
      <c r="A16" s="5" t="inlineStr">
        <is>
          <t>l5 (5→2)</t>
        </is>
      </c>
      <c r="B16" s="5" t="n">
        <v>0</v>
      </c>
      <c r="C16" s="5" t="n">
        <v>0</v>
      </c>
      <c r="D16" s="5" t="n">
        <v>0</v>
      </c>
      <c r="E16" s="5" t="n">
        <v>1</v>
      </c>
      <c r="F16" s="5" t="n">
        <v>0</v>
      </c>
    </row>
    <row r="17">
      <c r="A17" s="5" t="inlineStr">
        <is>
          <t>l6 (6→3)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1</v>
      </c>
    </row>
    <row r="18">
      <c r="A18" s="5" t="inlineStr">
        <is>
          <t>l7 (6→4)</t>
        </is>
      </c>
      <c r="B18" s="5" t="n">
        <v>0</v>
      </c>
      <c r="C18" s="5" t="n">
        <v>0</v>
      </c>
      <c r="D18" s="5" t="n">
        <v>1</v>
      </c>
      <c r="E18" s="5" t="n">
        <v>0</v>
      </c>
      <c r="F18" s="5" t="n">
        <v>0</v>
      </c>
    </row>
    <row r="19">
      <c r="A19" s="5" t="inlineStr">
        <is>
          <t>l8 (3→4)</t>
        </is>
      </c>
      <c r="B19" s="5" t="n">
        <v>1</v>
      </c>
      <c r="C19" s="5" t="n">
        <v>0</v>
      </c>
      <c r="D19" s="5" t="n">
        <v>0</v>
      </c>
      <c r="E19" s="5" t="n">
        <v>0</v>
      </c>
      <c r="F19" s="5" t="n">
        <v>1</v>
      </c>
    </row>
    <row r="20">
      <c r="A20" s="5" t="inlineStr">
        <is>
          <t>l9 (2→4)</t>
        </is>
      </c>
      <c r="B20" s="5" t="n">
        <v>0</v>
      </c>
      <c r="C20" s="5" t="n">
        <v>1</v>
      </c>
      <c r="D20" s="5" t="n">
        <v>0</v>
      </c>
      <c r="E20" s="5" t="n">
        <v>1</v>
      </c>
      <c r="F20" s="5" t="n">
        <v>0</v>
      </c>
    </row>
    <row r="22">
      <c r="A22" s="3" t="inlineStr">
        <is>
          <t>Template Path Flows f^(k)</t>
        </is>
      </c>
    </row>
    <row r="23">
      <c r="A23" s="4" t="inlineStr">
        <is>
          <t>Template</t>
        </is>
      </c>
      <c r="B23" s="4" t="inlineStr">
        <is>
          <t>P1</t>
        </is>
      </c>
      <c r="C23" s="4" t="inlineStr">
        <is>
          <t>P2</t>
        </is>
      </c>
      <c r="D23" s="4" t="inlineStr">
        <is>
          <t>P3</t>
        </is>
      </c>
      <c r="E23" s="4" t="inlineStr">
        <is>
          <t>P4</t>
        </is>
      </c>
      <c r="F23" s="4" t="inlineStr">
        <is>
          <t>P5</t>
        </is>
      </c>
    </row>
    <row r="24">
      <c r="A24" s="5" t="inlineStr">
        <is>
          <t>T1 (Free-Flow)</t>
        </is>
      </c>
      <c r="B24" s="5" t="n">
        <v>3</v>
      </c>
      <c r="C24" s="5" t="n">
        <v>3</v>
      </c>
      <c r="D24" s="5" t="n">
        <v>0</v>
      </c>
      <c r="E24" s="5" t="n">
        <v>0</v>
      </c>
      <c r="F24" s="5" t="n">
        <v>0</v>
      </c>
    </row>
    <row r="25">
      <c r="A25" s="5" t="inlineStr">
        <is>
          <t>T2 (Peak Congestion)</t>
        </is>
      </c>
      <c r="B25" s="5" t="n">
        <v>1</v>
      </c>
      <c r="C25" s="5" t="n">
        <v>1</v>
      </c>
      <c r="D25" s="5" t="n">
        <v>2</v>
      </c>
      <c r="E25" s="5" t="n">
        <v>2</v>
      </c>
      <c r="F25" s="5" t="n">
        <v>0</v>
      </c>
    </row>
    <row r="26">
      <c r="A26" s="5" t="inlineStr">
        <is>
          <t>T3 (Event at Node 3)</t>
        </is>
      </c>
      <c r="B26" s="5" t="n">
        <v>4</v>
      </c>
      <c r="C26" s="5" t="n">
        <v>0</v>
      </c>
      <c r="D26" s="5" t="n">
        <v>0</v>
      </c>
      <c r="E26" s="5" t="n">
        <v>0</v>
      </c>
      <c r="F26" s="5" t="n">
        <v>2</v>
      </c>
    </row>
    <row r="27">
      <c r="A27" s="5" t="inlineStr">
        <is>
          <t>T4 (Lower Incident)</t>
        </is>
      </c>
      <c r="B27" s="5" t="n">
        <v>2</v>
      </c>
      <c r="C27" s="5" t="n">
        <v>0</v>
      </c>
      <c r="D27" s="5" t="n">
        <v>3</v>
      </c>
      <c r="E27" s="5" t="n">
        <v>0</v>
      </c>
      <c r="F27" s="5" t="n">
        <v>1</v>
      </c>
    </row>
    <row r="29">
      <c r="A29" s="3" t="inlineStr">
        <is>
          <t>Template Link Flows x^(k) = A · f^(k)  [formula-based]</t>
        </is>
      </c>
    </row>
    <row r="30">
      <c r="A30" s="4" t="inlineStr">
        <is>
          <t>Link</t>
        </is>
      </c>
      <c r="B30" s="4" t="inlineStr">
        <is>
          <t>T1</t>
        </is>
      </c>
      <c r="C30" s="4" t="inlineStr">
        <is>
          <t>T2</t>
        </is>
      </c>
      <c r="D30" s="4" t="inlineStr">
        <is>
          <t>T3</t>
        </is>
      </c>
      <c r="E30" s="4" t="inlineStr">
        <is>
          <t>T4</t>
        </is>
      </c>
    </row>
    <row r="31">
      <c r="A31" s="5" t="inlineStr">
        <is>
          <t>l1 (1→3)</t>
        </is>
      </c>
      <c r="B31" s="6">
        <f>SUMPRODUCT($B$12:$F$12,$B$24:$F$24)</f>
        <v/>
      </c>
      <c r="C31" s="6">
        <f>SUMPRODUCT($B$12:$F$12,$B$25:$F$25)</f>
        <v/>
      </c>
      <c r="D31" s="6">
        <f>SUMPRODUCT($B$12:$F$12,$B$26:$F$26)</f>
        <v/>
      </c>
      <c r="E31" s="6">
        <f>SUMPRODUCT($B$12:$F$12,$B$27:$F$27)</f>
        <v/>
      </c>
    </row>
    <row r="32">
      <c r="A32" s="5" t="inlineStr">
        <is>
          <t>l2 (1→2)</t>
        </is>
      </c>
      <c r="B32" s="6">
        <f>SUMPRODUCT($B$13:$F$13,$B$24:$F$24)</f>
        <v/>
      </c>
      <c r="C32" s="6">
        <f>SUMPRODUCT($B$13:$F$13,$B$25:$F$25)</f>
        <v/>
      </c>
      <c r="D32" s="6">
        <f>SUMPRODUCT($B$13:$F$13,$B$26:$F$26)</f>
        <v/>
      </c>
      <c r="E32" s="6">
        <f>SUMPRODUCT($B$13:$F$13,$B$27:$F$27)</f>
        <v/>
      </c>
    </row>
    <row r="33">
      <c r="A33" s="5" t="inlineStr">
        <is>
          <t>l3 (1→5)</t>
        </is>
      </c>
      <c r="B33" s="6">
        <f>SUMPRODUCT($B$14:$F$14,$B$24:$F$24)</f>
        <v/>
      </c>
      <c r="C33" s="6">
        <f>SUMPRODUCT($B$14:$F$14,$B$25:$F$25)</f>
        <v/>
      </c>
      <c r="D33" s="6">
        <f>SUMPRODUCT($B$14:$F$14,$B$26:$F$26)</f>
        <v/>
      </c>
      <c r="E33" s="6">
        <f>SUMPRODUCT($B$14:$F$14,$B$27:$F$27)</f>
        <v/>
      </c>
    </row>
    <row r="34">
      <c r="A34" s="5" t="inlineStr">
        <is>
          <t>l4 (5→6)</t>
        </is>
      </c>
      <c r="B34" s="6">
        <f>SUMPRODUCT($B$15:$F$15,$B$24:$F$24)</f>
        <v/>
      </c>
      <c r="C34" s="6">
        <f>SUMPRODUCT($B$15:$F$15,$B$25:$F$25)</f>
        <v/>
      </c>
      <c r="D34" s="6">
        <f>SUMPRODUCT($B$15:$F$15,$B$26:$F$26)</f>
        <v/>
      </c>
      <c r="E34" s="6">
        <f>SUMPRODUCT($B$15:$F$15,$B$27:$F$27)</f>
        <v/>
      </c>
    </row>
    <row r="35">
      <c r="A35" s="5" t="inlineStr">
        <is>
          <t>l5 (5→2)</t>
        </is>
      </c>
      <c r="B35" s="6">
        <f>SUMPRODUCT($B$16:$F$16,$B$24:$F$24)</f>
        <v/>
      </c>
      <c r="C35" s="6">
        <f>SUMPRODUCT($B$16:$F$16,$B$25:$F$25)</f>
        <v/>
      </c>
      <c r="D35" s="6">
        <f>SUMPRODUCT($B$16:$F$16,$B$26:$F$26)</f>
        <v/>
      </c>
      <c r="E35" s="6">
        <f>SUMPRODUCT($B$16:$F$16,$B$27:$F$27)</f>
        <v/>
      </c>
    </row>
    <row r="36">
      <c r="A36" s="5" t="inlineStr">
        <is>
          <t>l6 (6→3)</t>
        </is>
      </c>
      <c r="B36" s="6">
        <f>SUMPRODUCT($B$17:$F$17,$B$24:$F$24)</f>
        <v/>
      </c>
      <c r="C36" s="6">
        <f>SUMPRODUCT($B$17:$F$17,$B$25:$F$25)</f>
        <v/>
      </c>
      <c r="D36" s="6">
        <f>SUMPRODUCT($B$17:$F$17,$B$26:$F$26)</f>
        <v/>
      </c>
      <c r="E36" s="6">
        <f>SUMPRODUCT($B$17:$F$17,$B$27:$F$27)</f>
        <v/>
      </c>
    </row>
    <row r="37">
      <c r="A37" s="5" t="inlineStr">
        <is>
          <t>l7 (6→4)</t>
        </is>
      </c>
      <c r="B37" s="6">
        <f>SUMPRODUCT($B$18:$F$18,$B$24:$F$24)</f>
        <v/>
      </c>
      <c r="C37" s="6">
        <f>SUMPRODUCT($B$18:$F$18,$B$25:$F$25)</f>
        <v/>
      </c>
      <c r="D37" s="6">
        <f>SUMPRODUCT($B$18:$F$18,$B$26:$F$26)</f>
        <v/>
      </c>
      <c r="E37" s="6">
        <f>SUMPRODUCT($B$18:$F$18,$B$27:$F$27)</f>
        <v/>
      </c>
    </row>
    <row r="38">
      <c r="A38" s="5" t="inlineStr">
        <is>
          <t>l8 (3→4)</t>
        </is>
      </c>
      <c r="B38" s="6">
        <f>SUMPRODUCT($B$19:$F$19,$B$24:$F$24)</f>
        <v/>
      </c>
      <c r="C38" s="6">
        <f>SUMPRODUCT($B$19:$F$19,$B$25:$F$25)</f>
        <v/>
      </c>
      <c r="D38" s="6">
        <f>SUMPRODUCT($B$19:$F$19,$B$26:$F$26)</f>
        <v/>
      </c>
      <c r="E38" s="6">
        <f>SUMPRODUCT($B$19:$F$19,$B$27:$F$27)</f>
        <v/>
      </c>
    </row>
    <row r="39">
      <c r="A39" s="5" t="inlineStr">
        <is>
          <t>l9 (2→4)</t>
        </is>
      </c>
      <c r="B39" s="6">
        <f>SUMPRODUCT($B$20:$F$20,$B$24:$F$24)</f>
        <v/>
      </c>
      <c r="C39" s="6">
        <f>SUMPRODUCT($B$20:$F$20,$B$25:$F$25)</f>
        <v/>
      </c>
      <c r="D39" s="6">
        <f>SUMPRODUCT($B$20:$F$20,$B$26:$F$26)</f>
        <v/>
      </c>
      <c r="E39" s="6">
        <f>SUMPRODUCT($B$20:$F$20,$B$27:$F$27)</f>
        <v/>
      </c>
    </row>
    <row r="41">
      <c r="A41" s="3" t="inlineStr">
        <is>
          <t>Expected Link Flows (from paper)</t>
        </is>
      </c>
    </row>
    <row r="42">
      <c r="A42" s="4" t="inlineStr">
        <is>
          <t>Link</t>
        </is>
      </c>
      <c r="B42" s="4" t="inlineStr">
        <is>
          <t>T1</t>
        </is>
      </c>
      <c r="C42" s="4" t="inlineStr">
        <is>
          <t>T2</t>
        </is>
      </c>
      <c r="D42" s="4" t="inlineStr">
        <is>
          <t>T3</t>
        </is>
      </c>
      <c r="E42" s="4" t="inlineStr">
        <is>
          <t>T4</t>
        </is>
      </c>
    </row>
    <row r="43">
      <c r="A43" s="5" t="inlineStr">
        <is>
          <t>l1 (1→3)</t>
        </is>
      </c>
      <c r="B43" s="5" t="n">
        <v>3</v>
      </c>
      <c r="C43" s="5" t="n">
        <v>1</v>
      </c>
      <c r="D43" s="5" t="n">
        <v>4</v>
      </c>
      <c r="E43" s="5" t="n">
        <v>2</v>
      </c>
    </row>
    <row r="44">
      <c r="A44" s="5" t="inlineStr">
        <is>
          <t>l2 (1→2)</t>
        </is>
      </c>
      <c r="B44" s="5" t="n">
        <v>3</v>
      </c>
      <c r="C44" s="5" t="n">
        <v>1</v>
      </c>
      <c r="D44" s="5" t="n">
        <v>0</v>
      </c>
      <c r="E44" s="5" t="n">
        <v>0</v>
      </c>
    </row>
    <row r="45">
      <c r="A45" s="5" t="inlineStr">
        <is>
          <t>l3 (1→5)</t>
        </is>
      </c>
      <c r="B45" s="5" t="n">
        <v>0</v>
      </c>
      <c r="C45" s="5" t="n">
        <v>4</v>
      </c>
      <c r="D45" s="5" t="n">
        <v>2</v>
      </c>
      <c r="E45" s="5" t="n">
        <v>4</v>
      </c>
    </row>
    <row r="46">
      <c r="A46" s="5" t="inlineStr">
        <is>
          <t>l4 (5→6)</t>
        </is>
      </c>
      <c r="B46" s="5" t="n">
        <v>0</v>
      </c>
      <c r="C46" s="5" t="n">
        <v>2</v>
      </c>
      <c r="D46" s="5" t="n">
        <v>2</v>
      </c>
      <c r="E46" s="5" t="n">
        <v>4</v>
      </c>
    </row>
    <row r="47">
      <c r="A47" s="5" t="inlineStr">
        <is>
          <t>l5 (5→2)</t>
        </is>
      </c>
      <c r="B47" s="5" t="n">
        <v>0</v>
      </c>
      <c r="C47" s="5" t="n">
        <v>2</v>
      </c>
      <c r="D47" s="5" t="n">
        <v>0</v>
      </c>
      <c r="E47" s="5" t="n">
        <v>0</v>
      </c>
    </row>
    <row r="48">
      <c r="A48" s="5" t="inlineStr">
        <is>
          <t>l6 (6→3)</t>
        </is>
      </c>
      <c r="B48" s="5" t="n">
        <v>0</v>
      </c>
      <c r="C48" s="5" t="n">
        <v>0</v>
      </c>
      <c r="D48" s="5" t="n">
        <v>2</v>
      </c>
      <c r="E48" s="5" t="n">
        <v>1</v>
      </c>
    </row>
    <row r="49">
      <c r="A49" s="5" t="inlineStr">
        <is>
          <t>l7 (6→4)</t>
        </is>
      </c>
      <c r="B49" s="5" t="n">
        <v>0</v>
      </c>
      <c r="C49" s="5" t="n">
        <v>2</v>
      </c>
      <c r="D49" s="5" t="n">
        <v>0</v>
      </c>
      <c r="E49" s="5" t="n">
        <v>3</v>
      </c>
    </row>
    <row r="50">
      <c r="A50" s="5" t="inlineStr">
        <is>
          <t>l8 (3→4)</t>
        </is>
      </c>
      <c r="B50" s="5" t="n">
        <v>3</v>
      </c>
      <c r="C50" s="5" t="n">
        <v>1</v>
      </c>
      <c r="D50" s="5" t="n">
        <v>6</v>
      </c>
      <c r="E50" s="5" t="n">
        <v>3</v>
      </c>
    </row>
    <row r="51">
      <c r="A51" s="5" t="inlineStr">
        <is>
          <t>l9 (2→4)</t>
        </is>
      </c>
      <c r="B51" s="5" t="n">
        <v>3</v>
      </c>
      <c r="C51" s="5" t="n">
        <v>3</v>
      </c>
      <c r="D51" s="5" t="n">
        <v>0</v>
      </c>
      <c r="E51" s="5" t="n">
        <v>0</v>
      </c>
    </row>
    <row r="53">
      <c r="A53" s="3" t="inlineStr">
        <is>
          <t>Match Check (formula = expected)?</t>
        </is>
      </c>
    </row>
    <row r="54">
      <c r="A54" s="4" t="inlineStr">
        <is>
          <t>Link</t>
        </is>
      </c>
      <c r="B54" s="4" t="inlineStr">
        <is>
          <t>T1</t>
        </is>
      </c>
      <c r="C54" s="4" t="inlineStr">
        <is>
          <t>T2</t>
        </is>
      </c>
      <c r="D54" s="4" t="inlineStr">
        <is>
          <t>T3</t>
        </is>
      </c>
      <c r="E54" s="4" t="inlineStr">
        <is>
          <t>T4</t>
        </is>
      </c>
    </row>
    <row r="55">
      <c r="A55" s="5" t="inlineStr">
        <is>
          <t>l1 (1→3)</t>
        </is>
      </c>
      <c r="B55" s="6">
        <f>IF(ABS(B31-B43)&lt;0.001,"OK","MISMATCH")</f>
        <v/>
      </c>
      <c r="C55" s="6">
        <f>IF(ABS(C31-C43)&lt;0.001,"OK","MISMATCH")</f>
        <v/>
      </c>
      <c r="D55" s="6">
        <f>IF(ABS(D31-D43)&lt;0.001,"OK","MISMATCH")</f>
        <v/>
      </c>
      <c r="E55" s="6">
        <f>IF(ABS(E31-E43)&lt;0.001,"OK","MISMATCH")</f>
        <v/>
      </c>
    </row>
    <row r="56">
      <c r="A56" s="5" t="inlineStr">
        <is>
          <t>l2 (1→2)</t>
        </is>
      </c>
      <c r="B56" s="6">
        <f>IF(ABS(B32-B44)&lt;0.001,"OK","MISMATCH")</f>
        <v/>
      </c>
      <c r="C56" s="6">
        <f>IF(ABS(C32-C44)&lt;0.001,"OK","MISMATCH")</f>
        <v/>
      </c>
      <c r="D56" s="6">
        <f>IF(ABS(D32-D44)&lt;0.001,"OK","MISMATCH")</f>
        <v/>
      </c>
      <c r="E56" s="6">
        <f>IF(ABS(E32-E44)&lt;0.001,"OK","MISMATCH")</f>
        <v/>
      </c>
    </row>
    <row r="57">
      <c r="A57" s="5" t="inlineStr">
        <is>
          <t>l3 (1→5)</t>
        </is>
      </c>
      <c r="B57" s="6">
        <f>IF(ABS(B33-B45)&lt;0.001,"OK","MISMATCH")</f>
        <v/>
      </c>
      <c r="C57" s="6">
        <f>IF(ABS(C33-C45)&lt;0.001,"OK","MISMATCH")</f>
        <v/>
      </c>
      <c r="D57" s="6">
        <f>IF(ABS(D33-D45)&lt;0.001,"OK","MISMATCH")</f>
        <v/>
      </c>
      <c r="E57" s="6">
        <f>IF(ABS(E33-E45)&lt;0.001,"OK","MISMATCH")</f>
        <v/>
      </c>
    </row>
    <row r="58">
      <c r="A58" s="5" t="inlineStr">
        <is>
          <t>l4 (5→6)</t>
        </is>
      </c>
      <c r="B58" s="6">
        <f>IF(ABS(B34-B46)&lt;0.001,"OK","MISMATCH")</f>
        <v/>
      </c>
      <c r="C58" s="6">
        <f>IF(ABS(C34-C46)&lt;0.001,"OK","MISMATCH")</f>
        <v/>
      </c>
      <c r="D58" s="6">
        <f>IF(ABS(D34-D46)&lt;0.001,"OK","MISMATCH")</f>
        <v/>
      </c>
      <c r="E58" s="6">
        <f>IF(ABS(E34-E46)&lt;0.001,"OK","MISMATCH")</f>
        <v/>
      </c>
    </row>
    <row r="59">
      <c r="A59" s="5" t="inlineStr">
        <is>
          <t>l5 (5→2)</t>
        </is>
      </c>
      <c r="B59" s="6">
        <f>IF(ABS(B35-B47)&lt;0.001,"OK","MISMATCH")</f>
        <v/>
      </c>
      <c r="C59" s="6">
        <f>IF(ABS(C35-C47)&lt;0.001,"OK","MISMATCH")</f>
        <v/>
      </c>
      <c r="D59" s="6">
        <f>IF(ABS(D35-D47)&lt;0.001,"OK","MISMATCH")</f>
        <v/>
      </c>
      <c r="E59" s="6">
        <f>IF(ABS(E35-E47)&lt;0.001,"OK","MISMATCH")</f>
        <v/>
      </c>
    </row>
    <row r="60">
      <c r="A60" s="5" t="inlineStr">
        <is>
          <t>l6 (6→3)</t>
        </is>
      </c>
      <c r="B60" s="6">
        <f>IF(ABS(B36-B48)&lt;0.001,"OK","MISMATCH")</f>
        <v/>
      </c>
      <c r="C60" s="6">
        <f>IF(ABS(C36-C48)&lt;0.001,"OK","MISMATCH")</f>
        <v/>
      </c>
      <c r="D60" s="6">
        <f>IF(ABS(D36-D48)&lt;0.001,"OK","MISMATCH")</f>
        <v/>
      </c>
      <c r="E60" s="6">
        <f>IF(ABS(E36-E48)&lt;0.001,"OK","MISMATCH")</f>
        <v/>
      </c>
    </row>
    <row r="61">
      <c r="A61" s="5" t="inlineStr">
        <is>
          <t>l7 (6→4)</t>
        </is>
      </c>
      <c r="B61" s="6">
        <f>IF(ABS(B37-B49)&lt;0.001,"OK","MISMATCH")</f>
        <v/>
      </c>
      <c r="C61" s="6">
        <f>IF(ABS(C37-C49)&lt;0.001,"OK","MISMATCH")</f>
        <v/>
      </c>
      <c r="D61" s="6">
        <f>IF(ABS(D37-D49)&lt;0.001,"OK","MISMATCH")</f>
        <v/>
      </c>
      <c r="E61" s="6">
        <f>IF(ABS(E37-E49)&lt;0.001,"OK","MISMATCH")</f>
        <v/>
      </c>
    </row>
    <row r="62">
      <c r="A62" s="5" t="inlineStr">
        <is>
          <t>l8 (3→4)</t>
        </is>
      </c>
      <c r="B62" s="6">
        <f>IF(ABS(B38-B50)&lt;0.001,"OK","MISMATCH")</f>
        <v/>
      </c>
      <c r="C62" s="6">
        <f>IF(ABS(C38-C50)&lt;0.001,"OK","MISMATCH")</f>
        <v/>
      </c>
      <c r="D62" s="6">
        <f>IF(ABS(D38-D50)&lt;0.001,"OK","MISMATCH")</f>
        <v/>
      </c>
      <c r="E62" s="6">
        <f>IF(ABS(E38-E50)&lt;0.001,"OK","MISMATCH")</f>
        <v/>
      </c>
    </row>
    <row r="63">
      <c r="A63" s="5" t="inlineStr">
        <is>
          <t>l9 (2→4)</t>
        </is>
      </c>
      <c r="B63" s="6">
        <f>IF(ABS(B39-B51)&lt;0.001,"OK","MISMATCH")</f>
        <v/>
      </c>
      <c r="C63" s="6">
        <f>IF(ABS(C39-C51)&lt;0.001,"OK","MISMATCH")</f>
        <v/>
      </c>
      <c r="D63" s="6">
        <f>IF(ABS(D39-D51)&lt;0.001,"OK","MISMATCH")</f>
        <v/>
      </c>
      <c r="E63" s="6">
        <f>IF(ABS(E39-E51)&lt;0.001,"OK","MISMATCH")</f>
        <v/>
      </c>
    </row>
    <row r="65">
      <c r="A65" s="3" t="inlineStr">
        <is>
          <t>Template Matrix T (9×4) — columns are x^(k)</t>
        </is>
      </c>
    </row>
    <row r="66">
      <c r="A66" s="4" t="inlineStr">
        <is>
          <t>Link</t>
        </is>
      </c>
      <c r="B66" s="4" t="inlineStr">
        <is>
          <t>x^(1)</t>
        </is>
      </c>
      <c r="C66" s="4" t="inlineStr">
        <is>
          <t>x^(2)</t>
        </is>
      </c>
      <c r="D66" s="4" t="inlineStr">
        <is>
          <t>x^(3)</t>
        </is>
      </c>
      <c r="E66" s="4" t="inlineStr">
        <is>
          <t>x^(4)</t>
        </is>
      </c>
    </row>
    <row r="67">
      <c r="A67" s="5" t="inlineStr">
        <is>
          <t>l1 (1→3)</t>
        </is>
      </c>
      <c r="B67" s="5">
        <f>B31</f>
        <v/>
      </c>
      <c r="C67" s="5">
        <f>C31</f>
        <v/>
      </c>
      <c r="D67" s="5">
        <f>D31</f>
        <v/>
      </c>
      <c r="E67" s="5">
        <f>E31</f>
        <v/>
      </c>
    </row>
    <row r="68">
      <c r="A68" s="5" t="inlineStr">
        <is>
          <t>l2 (1→2)</t>
        </is>
      </c>
      <c r="B68" s="5">
        <f>B32</f>
        <v/>
      </c>
      <c r="C68" s="5">
        <f>C32</f>
        <v/>
      </c>
      <c r="D68" s="5">
        <f>D32</f>
        <v/>
      </c>
      <c r="E68" s="5">
        <f>E32</f>
        <v/>
      </c>
    </row>
    <row r="69">
      <c r="A69" s="5" t="inlineStr">
        <is>
          <t>l3 (1→5)</t>
        </is>
      </c>
      <c r="B69" s="5">
        <f>B33</f>
        <v/>
      </c>
      <c r="C69" s="5">
        <f>C33</f>
        <v/>
      </c>
      <c r="D69" s="5">
        <f>D33</f>
        <v/>
      </c>
      <c r="E69" s="5">
        <f>E33</f>
        <v/>
      </c>
    </row>
    <row r="70">
      <c r="A70" s="5" t="inlineStr">
        <is>
          <t>l4 (5→6)</t>
        </is>
      </c>
      <c r="B70" s="5">
        <f>B34</f>
        <v/>
      </c>
      <c r="C70" s="5">
        <f>C34</f>
        <v/>
      </c>
      <c r="D70" s="5">
        <f>D34</f>
        <v/>
      </c>
      <c r="E70" s="5">
        <f>E34</f>
        <v/>
      </c>
    </row>
    <row r="71">
      <c r="A71" s="5" t="inlineStr">
        <is>
          <t>l5 (5→2)</t>
        </is>
      </c>
      <c r="B71" s="5">
        <f>B35</f>
        <v/>
      </c>
      <c r="C71" s="5">
        <f>C35</f>
        <v/>
      </c>
      <c r="D71" s="5">
        <f>D35</f>
        <v/>
      </c>
      <c r="E71" s="5">
        <f>E35</f>
        <v/>
      </c>
    </row>
    <row r="72">
      <c r="A72" s="5" t="inlineStr">
        <is>
          <t>l6 (6→3)</t>
        </is>
      </c>
      <c r="B72" s="5">
        <f>B36</f>
        <v/>
      </c>
      <c r="C72" s="5">
        <f>C36</f>
        <v/>
      </c>
      <c r="D72" s="5">
        <f>D36</f>
        <v/>
      </c>
      <c r="E72" s="5">
        <f>E36</f>
        <v/>
      </c>
    </row>
    <row r="73">
      <c r="A73" s="5" t="inlineStr">
        <is>
          <t>l7 (6→4)</t>
        </is>
      </c>
      <c r="B73" s="5">
        <f>B37</f>
        <v/>
      </c>
      <c r="C73" s="5">
        <f>C37</f>
        <v/>
      </c>
      <c r="D73" s="5">
        <f>D37</f>
        <v/>
      </c>
      <c r="E73" s="5">
        <f>E37</f>
        <v/>
      </c>
    </row>
    <row r="74">
      <c r="A74" s="5" t="inlineStr">
        <is>
          <t>l8 (3→4)</t>
        </is>
      </c>
      <c r="B74" s="5">
        <f>B38</f>
        <v/>
      </c>
      <c r="C74" s="5">
        <f>C38</f>
        <v/>
      </c>
      <c r="D74" s="5">
        <f>D38</f>
        <v/>
      </c>
      <c r="E74" s="5">
        <f>E38</f>
        <v/>
      </c>
    </row>
    <row r="75">
      <c r="A75" s="5" t="inlineStr">
        <is>
          <t>l9 (2→4)</t>
        </is>
      </c>
      <c r="B75" s="5">
        <f>B39</f>
        <v/>
      </c>
      <c r="C75" s="5">
        <f>C39</f>
        <v/>
      </c>
      <c r="D75" s="5">
        <f>D39</f>
        <v/>
      </c>
      <c r="E75" s="5">
        <f>E39</f>
        <v/>
      </c>
    </row>
    <row r="77">
      <c r="A77" s="3" t="inlineStr">
        <is>
          <t>Rank Check: 4×4 submatrix (rows l2, l4, l5, l6)</t>
        </is>
      </c>
    </row>
    <row r="78">
      <c r="A78" s="4" t="inlineStr"/>
      <c r="B78" s="4" t="inlineStr">
        <is>
          <t>x^(1)</t>
        </is>
      </c>
      <c r="C78" s="4" t="inlineStr">
        <is>
          <t>x^(2)</t>
        </is>
      </c>
      <c r="D78" s="4" t="inlineStr">
        <is>
          <t>x^(3)</t>
        </is>
      </c>
      <c r="E78" s="4" t="inlineStr">
        <is>
          <t>x^(4)</t>
        </is>
      </c>
    </row>
    <row r="79">
      <c r="A79" s="5" t="inlineStr">
        <is>
          <t>Link l2</t>
        </is>
      </c>
      <c r="B79" s="5">
        <f>B68</f>
        <v/>
      </c>
      <c r="C79" s="5">
        <f>C68</f>
        <v/>
      </c>
      <c r="D79" s="5">
        <f>D68</f>
        <v/>
      </c>
      <c r="E79" s="5">
        <f>E68</f>
        <v/>
      </c>
    </row>
    <row r="80">
      <c r="A80" s="5" t="inlineStr">
        <is>
          <t>Link l4</t>
        </is>
      </c>
      <c r="B80" s="5">
        <f>B70</f>
        <v/>
      </c>
      <c r="C80" s="5">
        <f>C70</f>
        <v/>
      </c>
      <c r="D80" s="5">
        <f>D70</f>
        <v/>
      </c>
      <c r="E80" s="5">
        <f>E70</f>
        <v/>
      </c>
    </row>
    <row r="81">
      <c r="A81" s="5" t="inlineStr">
        <is>
          <t>Link l5</t>
        </is>
      </c>
      <c r="B81" s="5">
        <f>B71</f>
        <v/>
      </c>
      <c r="C81" s="5">
        <f>C71</f>
        <v/>
      </c>
      <c r="D81" s="5">
        <f>D71</f>
        <v/>
      </c>
      <c r="E81" s="5">
        <f>E71</f>
        <v/>
      </c>
    </row>
    <row r="82">
      <c r="A82" s="5" t="inlineStr">
        <is>
          <t>Link l6</t>
        </is>
      </c>
      <c r="B82" s="5">
        <f>B72</f>
        <v/>
      </c>
      <c r="C82" s="5">
        <f>C72</f>
        <v/>
      </c>
      <c r="D82" s="5">
        <f>D72</f>
        <v/>
      </c>
      <c r="E82" s="5">
        <f>E72</f>
        <v/>
      </c>
    </row>
    <row r="84">
      <c r="A84" s="3" t="inlineStr">
        <is>
          <t>Determinant of 4×4 submatrix</t>
        </is>
      </c>
      <c r="B84" s="7">
        <f>MDETERM(B79:E82)</f>
        <v/>
      </c>
    </row>
    <row r="85">
      <c r="A85" t="inlineStr">
        <is>
          <t>rank(T) = 4?</t>
        </is>
      </c>
      <c r="B85" s="7">
        <f>IF(ABS(B84)&gt;0.001,"YES, rank=4 (det≠0)","NO, rank&lt;4")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Observed States as Conic Combinations of Templates</t>
        </is>
      </c>
    </row>
    <row r="3">
      <c r="A3" s="3" t="inlineStr">
        <is>
          <t>Mixture Weights α</t>
        </is>
      </c>
    </row>
    <row r="4">
      <c r="A4" s="4" t="inlineStr">
        <is>
          <t>State</t>
        </is>
      </c>
      <c r="B4" s="4" t="inlineStr">
        <is>
          <t>α1</t>
        </is>
      </c>
      <c r="C4" s="4" t="inlineStr">
        <is>
          <t>α2</t>
        </is>
      </c>
      <c r="D4" s="4" t="inlineStr">
        <is>
          <t>α3</t>
        </is>
      </c>
      <c r="E4" s="4" t="inlineStr">
        <is>
          <t>α4</t>
        </is>
      </c>
      <c r="F4" s="4" t="inlineStr">
        <is>
          <t>Description</t>
        </is>
      </c>
    </row>
    <row r="5">
      <c r="A5" s="5" t="inlineStr">
        <is>
          <t>S1</t>
        </is>
      </c>
      <c r="B5" s="5" t="n">
        <v>0.7</v>
      </c>
      <c r="C5" s="5" t="n">
        <v>0.3</v>
      </c>
      <c r="D5" s="5" t="n">
        <v>0</v>
      </c>
      <c r="E5" s="5" t="n">
        <v>0</v>
      </c>
      <c r="F5" s="5" t="inlineStr">
        <is>
          <t>Mild congestion onset</t>
        </is>
      </c>
    </row>
    <row r="6">
      <c r="A6" s="5" t="inlineStr">
        <is>
          <t>S2</t>
        </is>
      </c>
      <c r="B6" s="5" t="n">
        <v>0.2</v>
      </c>
      <c r="C6" s="5" t="n">
        <v>0.8</v>
      </c>
      <c r="D6" s="5" t="n">
        <v>0</v>
      </c>
      <c r="E6" s="5" t="n">
        <v>0</v>
      </c>
      <c r="F6" s="5" t="inlineStr">
        <is>
          <t>Full peak congestion</t>
        </is>
      </c>
    </row>
    <row r="7">
      <c r="A7" s="5" t="inlineStr">
        <is>
          <t>S3</t>
        </is>
      </c>
      <c r="B7" s="5" t="n">
        <v>0.3</v>
      </c>
      <c r="C7" s="5" t="n">
        <v>0</v>
      </c>
      <c r="D7" s="5" t="n">
        <v>0.7</v>
      </c>
      <c r="E7" s="5" t="n">
        <v>0</v>
      </c>
      <c r="F7" s="5" t="inlineStr">
        <is>
          <t>Event at node 3</t>
        </is>
      </c>
    </row>
    <row r="8">
      <c r="A8" s="5" t="inlineStr">
        <is>
          <t>S4</t>
        </is>
      </c>
      <c r="B8" s="5" t="n">
        <v>0</v>
      </c>
      <c r="C8" s="5" t="n">
        <v>0.4</v>
      </c>
      <c r="D8" s="5" t="n">
        <v>0</v>
      </c>
      <c r="E8" s="5" t="n">
        <v>0.6</v>
      </c>
      <c r="F8" s="5" t="inlineStr">
        <is>
          <t>Lower corridor incident</t>
        </is>
      </c>
    </row>
    <row r="9">
      <c r="A9" s="5" t="inlineStr">
        <is>
          <t>S5</t>
        </is>
      </c>
      <c r="B9" s="5" t="n">
        <v>0.1</v>
      </c>
      <c r="C9" s="5" t="n">
        <v>0.3</v>
      </c>
      <c r="D9" s="5" t="n">
        <v>0.3</v>
      </c>
      <c r="E9" s="5" t="n">
        <v>0.3</v>
      </c>
      <c r="F9" s="5" t="inlineStr">
        <is>
          <t>Mixed event and incident</t>
        </is>
      </c>
    </row>
    <row r="11">
      <c r="A11" s="3" t="inlineStr">
        <is>
          <t>Computed Link Flows: x_S = Σ αk · x^(k)  [formulas]</t>
        </is>
      </c>
    </row>
    <row r="12">
      <c r="A12" s="4" t="inlineStr">
        <is>
          <t>Link</t>
        </is>
      </c>
      <c r="B12" s="4" t="inlineStr">
        <is>
          <t>S1</t>
        </is>
      </c>
      <c r="C12" s="4" t="inlineStr">
        <is>
          <t>S2</t>
        </is>
      </c>
      <c r="D12" s="4" t="inlineStr">
        <is>
          <t>S3</t>
        </is>
      </c>
      <c r="E12" s="4" t="inlineStr">
        <is>
          <t>S4</t>
        </is>
      </c>
      <c r="F12" s="4" t="inlineStr">
        <is>
          <t>S5</t>
        </is>
      </c>
    </row>
    <row r="13">
      <c r="A13" s="5" t="inlineStr">
        <is>
          <t>l1 (1→3)</t>
        </is>
      </c>
      <c r="B13" s="8">
        <f>'Network &amp; Templates'!B$31*$B$5+'Network &amp; Templates'!C$31*$C$5+'Network &amp; Templates'!D$31*$D$5+'Network &amp; Templates'!E$31*$E$5</f>
        <v/>
      </c>
      <c r="C13" s="8">
        <f>'Network &amp; Templates'!B$31*$B$6+'Network &amp; Templates'!C$31*$C$6+'Network &amp; Templates'!D$31*$D$6+'Network &amp; Templates'!E$31*$E$6</f>
        <v/>
      </c>
      <c r="D13" s="8">
        <f>'Network &amp; Templates'!B$31*$B$7+'Network &amp; Templates'!C$31*$C$7+'Network &amp; Templates'!D$31*$D$7+'Network &amp; Templates'!E$31*$E$7</f>
        <v/>
      </c>
      <c r="E13" s="8">
        <f>'Network &amp; Templates'!B$31*$B$8+'Network &amp; Templates'!C$31*$C$8+'Network &amp; Templates'!D$31*$D$8+'Network &amp; Templates'!E$31*$E$8</f>
        <v/>
      </c>
      <c r="F13" s="8">
        <f>'Network &amp; Templates'!B$31*$B$9+'Network &amp; Templates'!C$31*$C$9+'Network &amp; Templates'!D$31*$D$9+'Network &amp; Templates'!E$31*$E$9</f>
        <v/>
      </c>
    </row>
    <row r="14">
      <c r="A14" s="5" t="inlineStr">
        <is>
          <t>l2 (1→2)</t>
        </is>
      </c>
      <c r="B14" s="8">
        <f>'Network &amp; Templates'!B$32*$B$5+'Network &amp; Templates'!C$32*$C$5+'Network &amp; Templates'!D$32*$D$5+'Network &amp; Templates'!E$32*$E$5</f>
        <v/>
      </c>
      <c r="C14" s="8">
        <f>'Network &amp; Templates'!B$32*$B$6+'Network &amp; Templates'!C$32*$C$6+'Network &amp; Templates'!D$32*$D$6+'Network &amp; Templates'!E$32*$E$6</f>
        <v/>
      </c>
      <c r="D14" s="8">
        <f>'Network &amp; Templates'!B$32*$B$7+'Network &amp; Templates'!C$32*$C$7+'Network &amp; Templates'!D$32*$D$7+'Network &amp; Templates'!E$32*$E$7</f>
        <v/>
      </c>
      <c r="E14" s="8">
        <f>'Network &amp; Templates'!B$32*$B$8+'Network &amp; Templates'!C$32*$C$8+'Network &amp; Templates'!D$32*$D$8+'Network &amp; Templates'!E$32*$E$8</f>
        <v/>
      </c>
      <c r="F14" s="8">
        <f>'Network &amp; Templates'!B$32*$B$9+'Network &amp; Templates'!C$32*$C$9+'Network &amp; Templates'!D$32*$D$9+'Network &amp; Templates'!E$32*$E$9</f>
        <v/>
      </c>
    </row>
    <row r="15">
      <c r="A15" s="5" t="inlineStr">
        <is>
          <t>l3 (1→5)</t>
        </is>
      </c>
      <c r="B15" s="8">
        <f>'Network &amp; Templates'!B$33*$B$5+'Network &amp; Templates'!C$33*$C$5+'Network &amp; Templates'!D$33*$D$5+'Network &amp; Templates'!E$33*$E$5</f>
        <v/>
      </c>
      <c r="C15" s="8">
        <f>'Network &amp; Templates'!B$33*$B$6+'Network &amp; Templates'!C$33*$C$6+'Network &amp; Templates'!D$33*$D$6+'Network &amp; Templates'!E$33*$E$6</f>
        <v/>
      </c>
      <c r="D15" s="8">
        <f>'Network &amp; Templates'!B$33*$B$7+'Network &amp; Templates'!C$33*$C$7+'Network &amp; Templates'!D$33*$D$7+'Network &amp; Templates'!E$33*$E$7</f>
        <v/>
      </c>
      <c r="E15" s="8">
        <f>'Network &amp; Templates'!B$33*$B$8+'Network &amp; Templates'!C$33*$C$8+'Network &amp; Templates'!D$33*$D$8+'Network &amp; Templates'!E$33*$E$8</f>
        <v/>
      </c>
      <c r="F15" s="8">
        <f>'Network &amp; Templates'!B$33*$B$9+'Network &amp; Templates'!C$33*$C$9+'Network &amp; Templates'!D$33*$D$9+'Network &amp; Templates'!E$33*$E$9</f>
        <v/>
      </c>
    </row>
    <row r="16">
      <c r="A16" s="5" t="inlineStr">
        <is>
          <t>l4 (5→6)</t>
        </is>
      </c>
      <c r="B16" s="8">
        <f>'Network &amp; Templates'!B$34*$B$5+'Network &amp; Templates'!C$34*$C$5+'Network &amp; Templates'!D$34*$D$5+'Network &amp; Templates'!E$34*$E$5</f>
        <v/>
      </c>
      <c r="C16" s="8">
        <f>'Network &amp; Templates'!B$34*$B$6+'Network &amp; Templates'!C$34*$C$6+'Network &amp; Templates'!D$34*$D$6+'Network &amp; Templates'!E$34*$E$6</f>
        <v/>
      </c>
      <c r="D16" s="8">
        <f>'Network &amp; Templates'!B$34*$B$7+'Network &amp; Templates'!C$34*$C$7+'Network &amp; Templates'!D$34*$D$7+'Network &amp; Templates'!E$34*$E$7</f>
        <v/>
      </c>
      <c r="E16" s="8">
        <f>'Network &amp; Templates'!B$34*$B$8+'Network &amp; Templates'!C$34*$C$8+'Network &amp; Templates'!D$34*$D$8+'Network &amp; Templates'!E$34*$E$8</f>
        <v/>
      </c>
      <c r="F16" s="8">
        <f>'Network &amp; Templates'!B$34*$B$9+'Network &amp; Templates'!C$34*$C$9+'Network &amp; Templates'!D$34*$D$9+'Network &amp; Templates'!E$34*$E$9</f>
        <v/>
      </c>
    </row>
    <row r="17">
      <c r="A17" s="5" t="inlineStr">
        <is>
          <t>l5 (5→2)</t>
        </is>
      </c>
      <c r="B17" s="8">
        <f>'Network &amp; Templates'!B$35*$B$5+'Network &amp; Templates'!C$35*$C$5+'Network &amp; Templates'!D$35*$D$5+'Network &amp; Templates'!E$35*$E$5</f>
        <v/>
      </c>
      <c r="C17" s="8">
        <f>'Network &amp; Templates'!B$35*$B$6+'Network &amp; Templates'!C$35*$C$6+'Network &amp; Templates'!D$35*$D$6+'Network &amp; Templates'!E$35*$E$6</f>
        <v/>
      </c>
      <c r="D17" s="8">
        <f>'Network &amp; Templates'!B$35*$B$7+'Network &amp; Templates'!C$35*$C$7+'Network &amp; Templates'!D$35*$D$7+'Network &amp; Templates'!E$35*$E$7</f>
        <v/>
      </c>
      <c r="E17" s="8">
        <f>'Network &amp; Templates'!B$35*$B$8+'Network &amp; Templates'!C$35*$C$8+'Network &amp; Templates'!D$35*$D$8+'Network &amp; Templates'!E$35*$E$8</f>
        <v/>
      </c>
      <c r="F17" s="8">
        <f>'Network &amp; Templates'!B$35*$B$9+'Network &amp; Templates'!C$35*$C$9+'Network &amp; Templates'!D$35*$D$9+'Network &amp; Templates'!E$35*$E$9</f>
        <v/>
      </c>
    </row>
    <row r="18">
      <c r="A18" s="5" t="inlineStr">
        <is>
          <t>l6 (6→3)</t>
        </is>
      </c>
      <c r="B18" s="8">
        <f>'Network &amp; Templates'!B$36*$B$5+'Network &amp; Templates'!C$36*$C$5+'Network &amp; Templates'!D$36*$D$5+'Network &amp; Templates'!E$36*$E$5</f>
        <v/>
      </c>
      <c r="C18" s="8">
        <f>'Network &amp; Templates'!B$36*$B$6+'Network &amp; Templates'!C$36*$C$6+'Network &amp; Templates'!D$36*$D$6+'Network &amp; Templates'!E$36*$E$6</f>
        <v/>
      </c>
      <c r="D18" s="8">
        <f>'Network &amp; Templates'!B$36*$B$7+'Network &amp; Templates'!C$36*$C$7+'Network &amp; Templates'!D$36*$D$7+'Network &amp; Templates'!E$36*$E$7</f>
        <v/>
      </c>
      <c r="E18" s="8">
        <f>'Network &amp; Templates'!B$36*$B$8+'Network &amp; Templates'!C$36*$C$8+'Network &amp; Templates'!D$36*$D$8+'Network &amp; Templates'!E$36*$E$8</f>
        <v/>
      </c>
      <c r="F18" s="8">
        <f>'Network &amp; Templates'!B$36*$B$9+'Network &amp; Templates'!C$36*$C$9+'Network &amp; Templates'!D$36*$D$9+'Network &amp; Templates'!E$36*$E$9</f>
        <v/>
      </c>
    </row>
    <row r="19">
      <c r="A19" s="5" t="inlineStr">
        <is>
          <t>l7 (6→4)</t>
        </is>
      </c>
      <c r="B19" s="8">
        <f>'Network &amp; Templates'!B$37*$B$5+'Network &amp; Templates'!C$37*$C$5+'Network &amp; Templates'!D$37*$D$5+'Network &amp; Templates'!E$37*$E$5</f>
        <v/>
      </c>
      <c r="C19" s="8">
        <f>'Network &amp; Templates'!B$37*$B$6+'Network &amp; Templates'!C$37*$C$6+'Network &amp; Templates'!D$37*$D$6+'Network &amp; Templates'!E$37*$E$6</f>
        <v/>
      </c>
      <c r="D19" s="8">
        <f>'Network &amp; Templates'!B$37*$B$7+'Network &amp; Templates'!C$37*$C$7+'Network &amp; Templates'!D$37*$D$7+'Network &amp; Templates'!E$37*$E$7</f>
        <v/>
      </c>
      <c r="E19" s="8">
        <f>'Network &amp; Templates'!B$37*$B$8+'Network &amp; Templates'!C$37*$C$8+'Network &amp; Templates'!D$37*$D$8+'Network &amp; Templates'!E$37*$E$8</f>
        <v/>
      </c>
      <c r="F19" s="8">
        <f>'Network &amp; Templates'!B$37*$B$9+'Network &amp; Templates'!C$37*$C$9+'Network &amp; Templates'!D$37*$D$9+'Network &amp; Templates'!E$37*$E$9</f>
        <v/>
      </c>
    </row>
    <row r="20">
      <c r="A20" s="5" t="inlineStr">
        <is>
          <t>l8 (3→4)</t>
        </is>
      </c>
      <c r="B20" s="8">
        <f>'Network &amp; Templates'!B$38*$B$5+'Network &amp; Templates'!C$38*$C$5+'Network &amp; Templates'!D$38*$D$5+'Network &amp; Templates'!E$38*$E$5</f>
        <v/>
      </c>
      <c r="C20" s="8">
        <f>'Network &amp; Templates'!B$38*$B$6+'Network &amp; Templates'!C$38*$C$6+'Network &amp; Templates'!D$38*$D$6+'Network &amp; Templates'!E$38*$E$6</f>
        <v/>
      </c>
      <c r="D20" s="8">
        <f>'Network &amp; Templates'!B$38*$B$7+'Network &amp; Templates'!C$38*$C$7+'Network &amp; Templates'!D$38*$D$7+'Network &amp; Templates'!E$38*$E$7</f>
        <v/>
      </c>
      <c r="E20" s="8">
        <f>'Network &amp; Templates'!B$38*$B$8+'Network &amp; Templates'!C$38*$C$8+'Network &amp; Templates'!D$38*$D$8+'Network &amp; Templates'!E$38*$E$8</f>
        <v/>
      </c>
      <c r="F20" s="8">
        <f>'Network &amp; Templates'!B$38*$B$9+'Network &amp; Templates'!C$38*$C$9+'Network &amp; Templates'!D$38*$D$9+'Network &amp; Templates'!E$38*$E$9</f>
        <v/>
      </c>
    </row>
    <row r="21">
      <c r="A21" s="5" t="inlineStr">
        <is>
          <t>l9 (2→4)</t>
        </is>
      </c>
      <c r="B21" s="8">
        <f>'Network &amp; Templates'!B$39*$B$5+'Network &amp; Templates'!C$39*$C$5+'Network &amp; Templates'!D$39*$D$5+'Network &amp; Templates'!E$39*$E$5</f>
        <v/>
      </c>
      <c r="C21" s="8">
        <f>'Network &amp; Templates'!B$39*$B$6+'Network &amp; Templates'!C$39*$C$6+'Network &amp; Templates'!D$39*$D$6+'Network &amp; Templates'!E$39*$E$6</f>
        <v/>
      </c>
      <c r="D21" s="8">
        <f>'Network &amp; Templates'!B$39*$B$7+'Network &amp; Templates'!C$39*$C$7+'Network &amp; Templates'!D$39*$D$7+'Network &amp; Templates'!E$39*$E$7</f>
        <v/>
      </c>
      <c r="E21" s="8">
        <f>'Network &amp; Templates'!B$39*$B$8+'Network &amp; Templates'!C$39*$C$8+'Network &amp; Templates'!D$39*$D$8+'Network &amp; Templates'!E$39*$E$8</f>
        <v/>
      </c>
      <c r="F21" s="8">
        <f>'Network &amp; Templates'!B$39*$B$9+'Network &amp; Templates'!C$39*$C$9+'Network &amp; Templates'!D$39*$D$9+'Network &amp; Templates'!E$39*$E$9</f>
        <v/>
      </c>
    </row>
    <row r="23">
      <c r="A23" s="3" t="inlineStr">
        <is>
          <t>Expected Link Flows (from paper)</t>
        </is>
      </c>
    </row>
    <row r="24">
      <c r="A24" s="4" t="inlineStr">
        <is>
          <t>Link</t>
        </is>
      </c>
      <c r="B24" s="4" t="inlineStr">
        <is>
          <t>S1</t>
        </is>
      </c>
      <c r="C24" s="4" t="inlineStr">
        <is>
          <t>S2</t>
        </is>
      </c>
      <c r="D24" s="4" t="inlineStr">
        <is>
          <t>S3</t>
        </is>
      </c>
      <c r="E24" s="4" t="inlineStr">
        <is>
          <t>S4</t>
        </is>
      </c>
      <c r="F24" s="4" t="inlineStr">
        <is>
          <t>S5</t>
        </is>
      </c>
    </row>
    <row r="25">
      <c r="A25" s="5" t="inlineStr">
        <is>
          <t>l1 (1→3)</t>
        </is>
      </c>
      <c r="B25" s="5" t="n">
        <v>2.4</v>
      </c>
      <c r="C25" s="5" t="n">
        <v>1.4</v>
      </c>
      <c r="D25" s="5" t="n">
        <v>3.7</v>
      </c>
      <c r="E25" s="5" t="n">
        <v>1.6</v>
      </c>
      <c r="F25" s="5" t="n">
        <v>2.4</v>
      </c>
    </row>
    <row r="26">
      <c r="A26" s="5" t="inlineStr">
        <is>
          <t>l2 (1→2)</t>
        </is>
      </c>
      <c r="B26" s="5" t="n">
        <v>2.4</v>
      </c>
      <c r="C26" s="5" t="n">
        <v>1.4</v>
      </c>
      <c r="D26" s="5" t="n">
        <v>0.9</v>
      </c>
      <c r="E26" s="5" t="n">
        <v>0.4</v>
      </c>
      <c r="F26" s="5" t="n">
        <v>0.6</v>
      </c>
    </row>
    <row r="27">
      <c r="A27" s="5" t="inlineStr">
        <is>
          <t>l3 (1→5)</t>
        </is>
      </c>
      <c r="B27" s="5" t="n">
        <v>1.2</v>
      </c>
      <c r="C27" s="5" t="n">
        <v>3.2</v>
      </c>
      <c r="D27" s="5" t="n">
        <v>1.4</v>
      </c>
      <c r="E27" s="5" t="n">
        <v>4</v>
      </c>
      <c r="F27" s="5" t="n">
        <v>3</v>
      </c>
    </row>
    <row r="28">
      <c r="A28" s="5" t="inlineStr">
        <is>
          <t>l4 (5→6)</t>
        </is>
      </c>
      <c r="B28" s="5" t="n">
        <v>0.6</v>
      </c>
      <c r="C28" s="5" t="n">
        <v>1.6</v>
      </c>
      <c r="D28" s="5" t="n">
        <v>1.4</v>
      </c>
      <c r="E28" s="5" t="n">
        <v>3.2</v>
      </c>
      <c r="F28" s="5" t="n">
        <v>2.4</v>
      </c>
    </row>
    <row r="29">
      <c r="A29" s="5" t="inlineStr">
        <is>
          <t>l5 (5→2)</t>
        </is>
      </c>
      <c r="B29" s="5" t="n">
        <v>0.6</v>
      </c>
      <c r="C29" s="5" t="n">
        <v>1.6</v>
      </c>
      <c r="D29" s="5" t="n">
        <v>0</v>
      </c>
      <c r="E29" s="5" t="n">
        <v>0.8</v>
      </c>
      <c r="F29" s="5" t="n">
        <v>0.6</v>
      </c>
    </row>
    <row r="30">
      <c r="A30" s="5" t="inlineStr">
        <is>
          <t>l6 (6→3)</t>
        </is>
      </c>
      <c r="B30" s="5" t="n">
        <v>0</v>
      </c>
      <c r="C30" s="5" t="n">
        <v>0</v>
      </c>
      <c r="D30" s="5" t="n">
        <v>1.4</v>
      </c>
      <c r="E30" s="5" t="n">
        <v>0.6</v>
      </c>
      <c r="F30" s="5" t="n">
        <v>0.9</v>
      </c>
    </row>
    <row r="31">
      <c r="A31" s="5" t="inlineStr">
        <is>
          <t>l7 (6→4)</t>
        </is>
      </c>
      <c r="B31" s="5" t="n">
        <v>0.6</v>
      </c>
      <c r="C31" s="5" t="n">
        <v>1.6</v>
      </c>
      <c r="D31" s="5" t="n">
        <v>0</v>
      </c>
      <c r="E31" s="5" t="n">
        <v>2.6</v>
      </c>
      <c r="F31" s="5" t="n">
        <v>1.5</v>
      </c>
    </row>
    <row r="32">
      <c r="A32" s="5" t="inlineStr">
        <is>
          <t>l8 (3→4)</t>
        </is>
      </c>
      <c r="B32" s="5" t="n">
        <v>2.4</v>
      </c>
      <c r="C32" s="5" t="n">
        <v>1.4</v>
      </c>
      <c r="D32" s="5" t="n">
        <v>5.1</v>
      </c>
      <c r="E32" s="5" t="n">
        <v>2.2</v>
      </c>
      <c r="F32" s="5" t="n">
        <v>3.3</v>
      </c>
    </row>
    <row r="33">
      <c r="A33" s="5" t="inlineStr">
        <is>
          <t>l9 (2→4)</t>
        </is>
      </c>
      <c r="B33" s="5" t="n">
        <v>3</v>
      </c>
      <c r="C33" s="5" t="n">
        <v>3</v>
      </c>
      <c r="D33" s="5" t="n">
        <v>0.9</v>
      </c>
      <c r="E33" s="5" t="n">
        <v>1.2</v>
      </c>
      <c r="F33" s="5" t="n">
        <v>1.2</v>
      </c>
    </row>
    <row r="35">
      <c r="A35" s="3" t="inlineStr">
        <is>
          <t>Match Check</t>
        </is>
      </c>
    </row>
    <row r="36">
      <c r="A36" s="4" t="inlineStr">
        <is>
          <t>Link</t>
        </is>
      </c>
      <c r="B36" s="4" t="inlineStr">
        <is>
          <t>S1</t>
        </is>
      </c>
      <c r="C36" s="4" t="inlineStr">
        <is>
          <t>S2</t>
        </is>
      </c>
      <c r="D36" s="4" t="inlineStr">
        <is>
          <t>S3</t>
        </is>
      </c>
      <c r="E36" s="4" t="inlineStr">
        <is>
          <t>S4</t>
        </is>
      </c>
      <c r="F36" s="4" t="inlineStr">
        <is>
          <t>S5</t>
        </is>
      </c>
    </row>
    <row r="37">
      <c r="A37" s="5" t="inlineStr">
        <is>
          <t>l1 (1→3)</t>
        </is>
      </c>
      <c r="B37" s="6">
        <f>IF(ABS(B13-B25)&lt;0.001,"OK","MISMATCH")</f>
        <v/>
      </c>
      <c r="C37" s="6">
        <f>IF(ABS(C13-C25)&lt;0.001,"OK","MISMATCH")</f>
        <v/>
      </c>
      <c r="D37" s="6">
        <f>IF(ABS(D13-D25)&lt;0.001,"OK","MISMATCH")</f>
        <v/>
      </c>
      <c r="E37" s="6">
        <f>IF(ABS(E13-E25)&lt;0.001,"OK","MISMATCH")</f>
        <v/>
      </c>
      <c r="F37" s="6">
        <f>IF(ABS(F13-F25)&lt;0.001,"OK","MISMATCH")</f>
        <v/>
      </c>
    </row>
    <row r="38">
      <c r="A38" s="5" t="inlineStr">
        <is>
          <t>l2 (1→2)</t>
        </is>
      </c>
      <c r="B38" s="6">
        <f>IF(ABS(B14-B26)&lt;0.001,"OK","MISMATCH")</f>
        <v/>
      </c>
      <c r="C38" s="6">
        <f>IF(ABS(C14-C26)&lt;0.001,"OK","MISMATCH")</f>
        <v/>
      </c>
      <c r="D38" s="6">
        <f>IF(ABS(D14-D26)&lt;0.001,"OK","MISMATCH")</f>
        <v/>
      </c>
      <c r="E38" s="6">
        <f>IF(ABS(E14-E26)&lt;0.001,"OK","MISMATCH")</f>
        <v/>
      </c>
      <c r="F38" s="6">
        <f>IF(ABS(F14-F26)&lt;0.001,"OK","MISMATCH")</f>
        <v/>
      </c>
    </row>
    <row r="39">
      <c r="A39" s="5" t="inlineStr">
        <is>
          <t>l3 (1→5)</t>
        </is>
      </c>
      <c r="B39" s="6">
        <f>IF(ABS(B15-B27)&lt;0.001,"OK","MISMATCH")</f>
        <v/>
      </c>
      <c r="C39" s="6">
        <f>IF(ABS(C15-C27)&lt;0.001,"OK","MISMATCH")</f>
        <v/>
      </c>
      <c r="D39" s="6">
        <f>IF(ABS(D15-D27)&lt;0.001,"OK","MISMATCH")</f>
        <v/>
      </c>
      <c r="E39" s="6">
        <f>IF(ABS(E15-E27)&lt;0.001,"OK","MISMATCH")</f>
        <v/>
      </c>
      <c r="F39" s="6">
        <f>IF(ABS(F15-F27)&lt;0.001,"OK","MISMATCH")</f>
        <v/>
      </c>
    </row>
    <row r="40">
      <c r="A40" s="5" t="inlineStr">
        <is>
          <t>l4 (5→6)</t>
        </is>
      </c>
      <c r="B40" s="6">
        <f>IF(ABS(B16-B28)&lt;0.001,"OK","MISMATCH")</f>
        <v/>
      </c>
      <c r="C40" s="6">
        <f>IF(ABS(C16-C28)&lt;0.001,"OK","MISMATCH")</f>
        <v/>
      </c>
      <c r="D40" s="6">
        <f>IF(ABS(D16-D28)&lt;0.001,"OK","MISMATCH")</f>
        <v/>
      </c>
      <c r="E40" s="6">
        <f>IF(ABS(E16-E28)&lt;0.001,"OK","MISMATCH")</f>
        <v/>
      </c>
      <c r="F40" s="6">
        <f>IF(ABS(F16-F28)&lt;0.001,"OK","MISMATCH")</f>
        <v/>
      </c>
    </row>
    <row r="41">
      <c r="A41" s="5" t="inlineStr">
        <is>
          <t>l5 (5→2)</t>
        </is>
      </c>
      <c r="B41" s="6">
        <f>IF(ABS(B17-B29)&lt;0.001,"OK","MISMATCH")</f>
        <v/>
      </c>
      <c r="C41" s="6">
        <f>IF(ABS(C17-C29)&lt;0.001,"OK","MISMATCH")</f>
        <v/>
      </c>
      <c r="D41" s="6">
        <f>IF(ABS(D17-D29)&lt;0.001,"OK","MISMATCH")</f>
        <v/>
      </c>
      <c r="E41" s="6">
        <f>IF(ABS(E17-E29)&lt;0.001,"OK","MISMATCH")</f>
        <v/>
      </c>
      <c r="F41" s="6">
        <f>IF(ABS(F17-F29)&lt;0.001,"OK","MISMATCH")</f>
        <v/>
      </c>
    </row>
    <row r="42">
      <c r="A42" s="5" t="inlineStr">
        <is>
          <t>l6 (6→3)</t>
        </is>
      </c>
      <c r="B42" s="6">
        <f>IF(ABS(B18-B30)&lt;0.001,"OK","MISMATCH")</f>
        <v/>
      </c>
      <c r="C42" s="6">
        <f>IF(ABS(C18-C30)&lt;0.001,"OK","MISMATCH")</f>
        <v/>
      </c>
      <c r="D42" s="6">
        <f>IF(ABS(D18-D30)&lt;0.001,"OK","MISMATCH")</f>
        <v/>
      </c>
      <c r="E42" s="6">
        <f>IF(ABS(E18-E30)&lt;0.001,"OK","MISMATCH")</f>
        <v/>
      </c>
      <c r="F42" s="6">
        <f>IF(ABS(F18-F30)&lt;0.001,"OK","MISMATCH")</f>
        <v/>
      </c>
    </row>
    <row r="43">
      <c r="A43" s="5" t="inlineStr">
        <is>
          <t>l7 (6→4)</t>
        </is>
      </c>
      <c r="B43" s="6">
        <f>IF(ABS(B19-B31)&lt;0.001,"OK","MISMATCH")</f>
        <v/>
      </c>
      <c r="C43" s="6">
        <f>IF(ABS(C19-C31)&lt;0.001,"OK","MISMATCH")</f>
        <v/>
      </c>
      <c r="D43" s="6">
        <f>IF(ABS(D19-D31)&lt;0.001,"OK","MISMATCH")</f>
        <v/>
      </c>
      <c r="E43" s="6">
        <f>IF(ABS(E19-E31)&lt;0.001,"OK","MISMATCH")</f>
        <v/>
      </c>
      <c r="F43" s="6">
        <f>IF(ABS(F19-F31)&lt;0.001,"OK","MISMATCH")</f>
        <v/>
      </c>
    </row>
    <row r="44">
      <c r="A44" s="5" t="inlineStr">
        <is>
          <t>l8 (3→4)</t>
        </is>
      </c>
      <c r="B44" s="6">
        <f>IF(ABS(B20-B32)&lt;0.001,"OK","MISMATCH")</f>
        <v/>
      </c>
      <c r="C44" s="6">
        <f>IF(ABS(C20-C32)&lt;0.001,"OK","MISMATCH")</f>
        <v/>
      </c>
      <c r="D44" s="6">
        <f>IF(ABS(D20-D32)&lt;0.001,"OK","MISMATCH")</f>
        <v/>
      </c>
      <c r="E44" s="6">
        <f>IF(ABS(E20-E32)&lt;0.001,"OK","MISMATCH")</f>
        <v/>
      </c>
      <c r="F44" s="6">
        <f>IF(ABS(F20-F32)&lt;0.001,"OK","MISMATCH")</f>
        <v/>
      </c>
    </row>
    <row r="45">
      <c r="A45" s="5" t="inlineStr">
        <is>
          <t>l9 (2→4)</t>
        </is>
      </c>
      <c r="B45" s="6">
        <f>IF(ABS(B21-B33)&lt;0.001,"OK","MISMATCH")</f>
        <v/>
      </c>
      <c r="C45" s="6">
        <f>IF(ABS(C21-C33)&lt;0.001,"OK","MISMATCH")</f>
        <v/>
      </c>
      <c r="D45" s="6">
        <f>IF(ABS(D21-D33)&lt;0.001,"OK","MISMATCH")</f>
        <v/>
      </c>
      <c r="E45" s="6">
        <f>IF(ABS(E21-E33)&lt;0.001,"OK","MISMATCH")</f>
        <v/>
      </c>
      <c r="F45" s="6">
        <f>IF(ABS(F21-F33)&lt;0.001,"OK","MISMATCH")</f>
        <v/>
      </c>
    </row>
    <row r="47">
      <c r="A47" s="3" t="inlineStr">
        <is>
          <t>Complete Flow Matrix X (9×5)</t>
        </is>
      </c>
    </row>
    <row r="48">
      <c r="A48" t="inlineStr">
        <is>
          <t>X = T · A,  where columns are observed states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Performance Metrics — Single vs. Multi-Template (Six-Node Network)</t>
        </is>
      </c>
    </row>
    <row r="3">
      <c r="A3" s="2" t="inlineStr">
        <is>
          <t>All five states (S1–S5) are used for evaluation.</t>
        </is>
      </c>
    </row>
    <row r="4">
      <c r="A4" t="inlineStr">
        <is>
          <t>Single-template (S=1): best non-negative scalar λ, i.e., x_hat = λ · x^(k)</t>
        </is>
      </c>
    </row>
    <row r="5">
      <c r="A5" t="inlineStr">
        <is>
          <t>Multi-template (S=4): best non-negative λ vector, i.e., x_hat = T · λ</t>
        </is>
      </c>
    </row>
    <row r="6">
      <c r="A6" t="inlineStr">
        <is>
          <t>n_links = 9, n_states = 5</t>
        </is>
      </c>
    </row>
    <row r="8">
      <c r="A8" s="3" t="inlineStr">
        <is>
          <t>Template Vectors (copied from Sheet 1)</t>
        </is>
      </c>
    </row>
    <row r="9">
      <c r="A9" s="4" t="inlineStr">
        <is>
          <t>Link</t>
        </is>
      </c>
      <c r="B9" s="4" t="inlineStr">
        <is>
          <t>T1</t>
        </is>
      </c>
      <c r="C9" s="4" t="inlineStr">
        <is>
          <t>T2</t>
        </is>
      </c>
      <c r="D9" s="4" t="inlineStr">
        <is>
          <t>T3</t>
        </is>
      </c>
      <c r="E9" s="4" t="inlineStr">
        <is>
          <t>T4</t>
        </is>
      </c>
    </row>
    <row r="10">
      <c r="A10" s="5" t="inlineStr">
        <is>
          <t>l1</t>
        </is>
      </c>
      <c r="B10" s="5" t="n">
        <v>3</v>
      </c>
      <c r="C10" s="5" t="n">
        <v>1</v>
      </c>
      <c r="D10" s="5" t="n">
        <v>4</v>
      </c>
      <c r="E10" s="5" t="n">
        <v>2</v>
      </c>
    </row>
    <row r="11">
      <c r="A11" s="5" t="inlineStr">
        <is>
          <t>l2</t>
        </is>
      </c>
      <c r="B11" s="5" t="n">
        <v>3</v>
      </c>
      <c r="C11" s="5" t="n">
        <v>1</v>
      </c>
      <c r="D11" s="5" t="n">
        <v>0</v>
      </c>
      <c r="E11" s="5" t="n">
        <v>0</v>
      </c>
    </row>
    <row r="12">
      <c r="A12" s="5" t="inlineStr">
        <is>
          <t>l3</t>
        </is>
      </c>
      <c r="B12" s="5" t="n">
        <v>0</v>
      </c>
      <c r="C12" s="5" t="n">
        <v>4</v>
      </c>
      <c r="D12" s="5" t="n">
        <v>2</v>
      </c>
      <c r="E12" s="5" t="n">
        <v>4</v>
      </c>
    </row>
    <row r="13">
      <c r="A13" s="5" t="inlineStr">
        <is>
          <t>l4</t>
        </is>
      </c>
      <c r="B13" s="5" t="n">
        <v>0</v>
      </c>
      <c r="C13" s="5" t="n">
        <v>2</v>
      </c>
      <c r="D13" s="5" t="n">
        <v>2</v>
      </c>
      <c r="E13" s="5" t="n">
        <v>4</v>
      </c>
    </row>
    <row r="14">
      <c r="A14" s="5" t="inlineStr">
        <is>
          <t>l5</t>
        </is>
      </c>
      <c r="B14" s="5" t="n">
        <v>0</v>
      </c>
      <c r="C14" s="5" t="n">
        <v>2</v>
      </c>
      <c r="D14" s="5" t="n">
        <v>0</v>
      </c>
      <c r="E14" s="5" t="n">
        <v>0</v>
      </c>
    </row>
    <row r="15">
      <c r="A15" s="5" t="inlineStr">
        <is>
          <t>l6</t>
        </is>
      </c>
      <c r="B15" s="5" t="n">
        <v>0</v>
      </c>
      <c r="C15" s="5" t="n">
        <v>0</v>
      </c>
      <c r="D15" s="5" t="n">
        <v>2</v>
      </c>
      <c r="E15" s="5" t="n">
        <v>1</v>
      </c>
    </row>
    <row r="16">
      <c r="A16" s="5" t="inlineStr">
        <is>
          <t>l7</t>
        </is>
      </c>
      <c r="B16" s="5" t="n">
        <v>0</v>
      </c>
      <c r="C16" s="5" t="n">
        <v>2</v>
      </c>
      <c r="D16" s="5" t="n">
        <v>0</v>
      </c>
      <c r="E16" s="5" t="n">
        <v>3</v>
      </c>
    </row>
    <row r="17">
      <c r="A17" s="5" t="inlineStr">
        <is>
          <t>l8</t>
        </is>
      </c>
      <c r="B17" s="5" t="n">
        <v>3</v>
      </c>
      <c r="C17" s="5" t="n">
        <v>1</v>
      </c>
      <c r="D17" s="5" t="n">
        <v>6</v>
      </c>
      <c r="E17" s="5" t="n">
        <v>3</v>
      </c>
    </row>
    <row r="18">
      <c r="A18" s="5" t="inlineStr">
        <is>
          <t>l9</t>
        </is>
      </c>
      <c r="B18" s="5" t="n">
        <v>3</v>
      </c>
      <c r="C18" s="5" t="n">
        <v>3</v>
      </c>
      <c r="D18" s="5" t="n">
        <v>0</v>
      </c>
      <c r="E18" s="5" t="n">
        <v>0</v>
      </c>
    </row>
    <row r="20">
      <c r="A20" s="3" t="inlineStr">
        <is>
          <t>Observed State Vectors</t>
        </is>
      </c>
    </row>
    <row r="21">
      <c r="A21" s="4" t="inlineStr">
        <is>
          <t>Link</t>
        </is>
      </c>
      <c r="B21" s="4" t="inlineStr">
        <is>
          <t>S1</t>
        </is>
      </c>
      <c r="C21" s="4" t="inlineStr">
        <is>
          <t>S2</t>
        </is>
      </c>
      <c r="D21" s="4" t="inlineStr">
        <is>
          <t>S3</t>
        </is>
      </c>
      <c r="E21" s="4" t="inlineStr">
        <is>
          <t>S4</t>
        </is>
      </c>
      <c r="F21" s="4" t="inlineStr">
        <is>
          <t>S5</t>
        </is>
      </c>
    </row>
    <row r="22">
      <c r="A22" s="5" t="inlineStr">
        <is>
          <t>l1</t>
        </is>
      </c>
      <c r="B22" s="5" t="n">
        <v>2.4</v>
      </c>
      <c r="C22" s="5" t="n">
        <v>1.4</v>
      </c>
      <c r="D22" s="5" t="n">
        <v>3.7</v>
      </c>
      <c r="E22" s="5" t="n">
        <v>1.6</v>
      </c>
      <c r="F22" s="5" t="n">
        <v>2.4</v>
      </c>
    </row>
    <row r="23">
      <c r="A23" s="5" t="inlineStr">
        <is>
          <t>l2</t>
        </is>
      </c>
      <c r="B23" s="5" t="n">
        <v>2.4</v>
      </c>
      <c r="C23" s="5" t="n">
        <v>1.4</v>
      </c>
      <c r="D23" s="5" t="n">
        <v>0.9</v>
      </c>
      <c r="E23" s="5" t="n">
        <v>0.4</v>
      </c>
      <c r="F23" s="5" t="n">
        <v>0.6</v>
      </c>
    </row>
    <row r="24">
      <c r="A24" s="5" t="inlineStr">
        <is>
          <t>l3</t>
        </is>
      </c>
      <c r="B24" s="5" t="n">
        <v>1.2</v>
      </c>
      <c r="C24" s="5" t="n">
        <v>3.2</v>
      </c>
      <c r="D24" s="5" t="n">
        <v>1.4</v>
      </c>
      <c r="E24" s="5" t="n">
        <v>4</v>
      </c>
      <c r="F24" s="5" t="n">
        <v>3</v>
      </c>
    </row>
    <row r="25">
      <c r="A25" s="5" t="inlineStr">
        <is>
          <t>l4</t>
        </is>
      </c>
      <c r="B25" s="5" t="n">
        <v>0.6</v>
      </c>
      <c r="C25" s="5" t="n">
        <v>1.6</v>
      </c>
      <c r="D25" s="5" t="n">
        <v>1.4</v>
      </c>
      <c r="E25" s="5" t="n">
        <v>3.2</v>
      </c>
      <c r="F25" s="5" t="n">
        <v>2.4</v>
      </c>
    </row>
    <row r="26">
      <c r="A26" s="5" t="inlineStr">
        <is>
          <t>l5</t>
        </is>
      </c>
      <c r="B26" s="5" t="n">
        <v>0.6</v>
      </c>
      <c r="C26" s="5" t="n">
        <v>1.6</v>
      </c>
      <c r="D26" s="5" t="n">
        <v>0</v>
      </c>
      <c r="E26" s="5" t="n">
        <v>0.8</v>
      </c>
      <c r="F26" s="5" t="n">
        <v>0.6</v>
      </c>
    </row>
    <row r="27">
      <c r="A27" s="5" t="inlineStr">
        <is>
          <t>l6</t>
        </is>
      </c>
      <c r="B27" s="5" t="n">
        <v>0</v>
      </c>
      <c r="C27" s="5" t="n">
        <v>0</v>
      </c>
      <c r="D27" s="5" t="n">
        <v>1.4</v>
      </c>
      <c r="E27" s="5" t="n">
        <v>0.6</v>
      </c>
      <c r="F27" s="5" t="n">
        <v>0.9</v>
      </c>
    </row>
    <row r="28">
      <c r="A28" s="5" t="inlineStr">
        <is>
          <t>l7</t>
        </is>
      </c>
      <c r="B28" s="5" t="n">
        <v>0.6</v>
      </c>
      <c r="C28" s="5" t="n">
        <v>1.6</v>
      </c>
      <c r="D28" s="5" t="n">
        <v>0</v>
      </c>
      <c r="E28" s="5" t="n">
        <v>2.6</v>
      </c>
      <c r="F28" s="5" t="n">
        <v>1.5</v>
      </c>
    </row>
    <row r="29">
      <c r="A29" s="5" t="inlineStr">
        <is>
          <t>l8</t>
        </is>
      </c>
      <c r="B29" s="5" t="n">
        <v>2.4</v>
      </c>
      <c r="C29" s="5" t="n">
        <v>1.4</v>
      </c>
      <c r="D29" s="5" t="n">
        <v>5.1</v>
      </c>
      <c r="E29" s="5" t="n">
        <v>2.2</v>
      </c>
      <c r="F29" s="5" t="n">
        <v>3.3</v>
      </c>
    </row>
    <row r="30">
      <c r="A30" s="5" t="inlineStr">
        <is>
          <t>l9</t>
        </is>
      </c>
      <c r="B30" s="5" t="n">
        <v>3</v>
      </c>
      <c r="C30" s="5" t="n">
        <v>3</v>
      </c>
      <c r="D30" s="5" t="n">
        <v>0.9</v>
      </c>
      <c r="E30" s="5" t="n">
        <v>1.2</v>
      </c>
      <c r="F30" s="5" t="n">
        <v>1.2</v>
      </c>
    </row>
    <row r="33">
      <c r="A33" s="3" t="inlineStr">
        <is>
          <t>Single-Template Projections</t>
        </is>
      </c>
    </row>
    <row r="34">
      <c r="A34" s="3" t="inlineStr">
        <is>
          <t>Template 1: T1 (Free-Flow)</t>
        </is>
      </c>
    </row>
    <row r="35">
      <c r="A35" t="inlineStr">
        <is>
          <t>t·t =</t>
        </is>
      </c>
      <c r="B35" s="7">
        <f>SUMPRODUCT(B10:B18,B10:B18)</f>
        <v/>
      </c>
    </row>
    <row r="36">
      <c r="A36" s="4" t="inlineStr"/>
      <c r="B36" s="4" t="inlineStr">
        <is>
          <t>S1</t>
        </is>
      </c>
      <c r="C36" s="4" t="inlineStr">
        <is>
          <t>S2</t>
        </is>
      </c>
      <c r="D36" s="4" t="inlineStr">
        <is>
          <t>S3</t>
        </is>
      </c>
      <c r="E36" s="4" t="inlineStr">
        <is>
          <t>S4</t>
        </is>
      </c>
      <c r="F36" s="4" t="inlineStr">
        <is>
          <t>S5</t>
        </is>
      </c>
    </row>
    <row r="37">
      <c r="A37" s="5" t="inlineStr">
        <is>
          <t>x·t</t>
        </is>
      </c>
      <c r="B37" s="6">
        <f>SUMPRODUCT(B22:B30,B10:B18)</f>
        <v/>
      </c>
      <c r="C37" s="6">
        <f>SUMPRODUCT(C22:C30,B10:B18)</f>
        <v/>
      </c>
      <c r="D37" s="6">
        <f>SUMPRODUCT(D22:D30,B10:B18)</f>
        <v/>
      </c>
      <c r="E37" s="6">
        <f>SUMPRODUCT(E22:E30,B10:B18)</f>
        <v/>
      </c>
      <c r="F37" s="6">
        <f>SUMPRODUCT(F22:F30,B10:B18)</f>
        <v/>
      </c>
    </row>
    <row r="38">
      <c r="A38" s="5" t="inlineStr">
        <is>
          <t>λ*</t>
        </is>
      </c>
      <c r="B38" s="8">
        <f>MAX(0,B37/$B$35)</f>
        <v/>
      </c>
      <c r="C38" s="8">
        <f>MAX(0,C37/$B$35)</f>
        <v/>
      </c>
      <c r="D38" s="8">
        <f>MAX(0,D37/$B$35)</f>
        <v/>
      </c>
      <c r="E38" s="8">
        <f>MAX(0,E37/$B$35)</f>
        <v/>
      </c>
      <c r="F38" s="8">
        <f>MAX(0,F37/$B$35)</f>
        <v/>
      </c>
    </row>
    <row r="39">
      <c r="A39" s="5" t="inlineStr">
        <is>
          <t>Σ(x-λt)²</t>
        </is>
      </c>
      <c r="B39" s="9">
        <f>SUMPRODUCT((B22:B30-B38*B10:B18)^2)</f>
        <v/>
      </c>
      <c r="C39" s="9">
        <f>SUMPRODUCT((C22:C30-C38*B10:B18)^2)</f>
        <v/>
      </c>
      <c r="D39" s="9">
        <f>SUMPRODUCT((D22:D30-D38*B10:B18)^2)</f>
        <v/>
      </c>
      <c r="E39" s="9">
        <f>SUMPRODUCT((E22:E30-E38*B10:B18)^2)</f>
        <v/>
      </c>
      <c r="F39" s="9">
        <f>SUMPRODUCT((F22:F30-F38*B10:B18)^2)</f>
        <v/>
      </c>
    </row>
    <row r="40">
      <c r="A40" s="5" t="inlineStr">
        <is>
          <t>Σ|x-λt|</t>
        </is>
      </c>
      <c r="B40" s="9">
        <f>SUMPRODUCT(ABS(B22:B30-B38*B10:B18))</f>
        <v/>
      </c>
      <c r="C40" s="9">
        <f>SUMPRODUCT(ABS(C22:C30-C38*B10:B18))</f>
        <v/>
      </c>
      <c r="D40" s="9">
        <f>SUMPRODUCT(ABS(D22:D30-D38*B10:B18))</f>
        <v/>
      </c>
      <c r="E40" s="9">
        <f>SUMPRODUCT(ABS(E22:E30-E38*B10:B18))</f>
        <v/>
      </c>
      <c r="F40" s="9">
        <f>SUMPRODUCT(ABS(F22:F30-F38*B10:B18))</f>
        <v/>
      </c>
    </row>
    <row r="41">
      <c r="A41" s="5" t="inlineStr">
        <is>
          <t>MAPE (state)</t>
        </is>
      </c>
      <c r="B41" s="10">
        <f>AVERAGE(IF(B22:B30&gt;0,ABS(B22:B30-B38*B10:B18)/B22:B30))</f>
        <v/>
      </c>
      <c r="C41" s="10">
        <f>AVERAGE(IF(C22:C30&gt;0,ABS(C22:C30-C38*B10:B18)/C22:C30))</f>
        <v/>
      </c>
      <c r="D41" s="10">
        <f>AVERAGE(IF(D22:D30&gt;0,ABS(D22:D30-D38*B10:B18)/D22:D30))</f>
        <v/>
      </c>
      <c r="E41" s="10">
        <f>AVERAGE(IF(E22:E30&gt;0,ABS(E22:E30-E38*B10:B18)/E22:E30))</f>
        <v/>
      </c>
      <c r="F41" s="10">
        <f>AVERAGE(IF(F22:F30&gt;0,ABS(F22:F30-F38*B10:B18)/F22:F30))</f>
        <v/>
      </c>
    </row>
    <row r="48">
      <c r="A48" s="3" t="inlineStr">
        <is>
          <t>Template 2: T2 (Peak Congestion)</t>
        </is>
      </c>
    </row>
    <row r="49">
      <c r="A49" t="inlineStr">
        <is>
          <t>t·t =</t>
        </is>
      </c>
      <c r="B49" s="7">
        <f>SUMPRODUCT(C10:C18,C10:C18)</f>
        <v/>
      </c>
    </row>
    <row r="50">
      <c r="A50" s="4" t="inlineStr"/>
      <c r="B50" s="4" t="inlineStr">
        <is>
          <t>S1</t>
        </is>
      </c>
      <c r="C50" s="4" t="inlineStr">
        <is>
          <t>S2</t>
        </is>
      </c>
      <c r="D50" s="4" t="inlineStr">
        <is>
          <t>S3</t>
        </is>
      </c>
      <c r="E50" s="4" t="inlineStr">
        <is>
          <t>S4</t>
        </is>
      </c>
      <c r="F50" s="4" t="inlineStr">
        <is>
          <t>S5</t>
        </is>
      </c>
    </row>
    <row r="51">
      <c r="A51" s="5" t="inlineStr">
        <is>
          <t>x·t</t>
        </is>
      </c>
      <c r="B51" s="6">
        <f>SUMPRODUCT(B22:B30,C10:C18)</f>
        <v/>
      </c>
      <c r="C51" s="6">
        <f>SUMPRODUCT(C22:C30,C10:C18)</f>
        <v/>
      </c>
      <c r="D51" s="6">
        <f>SUMPRODUCT(D22:D30,C10:C18)</f>
        <v/>
      </c>
      <c r="E51" s="6">
        <f>SUMPRODUCT(E22:E30,C10:C18)</f>
        <v/>
      </c>
      <c r="F51" s="6">
        <f>SUMPRODUCT(F22:F30,C10:C18)</f>
        <v/>
      </c>
    </row>
    <row r="52">
      <c r="A52" s="5" t="inlineStr">
        <is>
          <t>λ*</t>
        </is>
      </c>
      <c r="B52" s="8">
        <f>MAX(0,B51/$B$49)</f>
        <v/>
      </c>
      <c r="C52" s="8">
        <f>MAX(0,C51/$B$49)</f>
        <v/>
      </c>
      <c r="D52" s="8">
        <f>MAX(0,D51/$B$49)</f>
        <v/>
      </c>
      <c r="E52" s="8">
        <f>MAX(0,E51/$B$49)</f>
        <v/>
      </c>
      <c r="F52" s="8">
        <f>MAX(0,F51/$B$49)</f>
        <v/>
      </c>
    </row>
    <row r="53">
      <c r="A53" s="5" t="inlineStr">
        <is>
          <t>Σ(x-λt)²</t>
        </is>
      </c>
      <c r="B53" s="9">
        <f>SUMPRODUCT((B22:B30-B52*C10:C18)^2)</f>
        <v/>
      </c>
      <c r="C53" s="9">
        <f>SUMPRODUCT((C22:C30-C52*C10:C18)^2)</f>
        <v/>
      </c>
      <c r="D53" s="9">
        <f>SUMPRODUCT((D22:D30-D52*C10:C18)^2)</f>
        <v/>
      </c>
      <c r="E53" s="9">
        <f>SUMPRODUCT((E22:E30-E52*C10:C18)^2)</f>
        <v/>
      </c>
      <c r="F53" s="9">
        <f>SUMPRODUCT((F22:F30-F52*C10:C18)^2)</f>
        <v/>
      </c>
    </row>
    <row r="54">
      <c r="A54" s="5" t="inlineStr">
        <is>
          <t>Σ|x-λt|</t>
        </is>
      </c>
      <c r="B54" s="9">
        <f>SUMPRODUCT(ABS(B22:B30-B52*C10:C18))</f>
        <v/>
      </c>
      <c r="C54" s="9">
        <f>SUMPRODUCT(ABS(C22:C30-C52*C10:C18))</f>
        <v/>
      </c>
      <c r="D54" s="9">
        <f>SUMPRODUCT(ABS(D22:D30-D52*C10:C18))</f>
        <v/>
      </c>
      <c r="E54" s="9">
        <f>SUMPRODUCT(ABS(E22:E30-E52*C10:C18))</f>
        <v/>
      </c>
      <c r="F54" s="9">
        <f>SUMPRODUCT(ABS(F22:F30-F52*C10:C18))</f>
        <v/>
      </c>
    </row>
    <row r="55">
      <c r="A55" s="5" t="inlineStr">
        <is>
          <t>MAPE (state)</t>
        </is>
      </c>
      <c r="B55" s="10">
        <f>AVERAGE(IF(B22:B30&gt;0,ABS(B22:B30-B52*C10:C18)/B22:B30))</f>
        <v/>
      </c>
      <c r="C55" s="10">
        <f>AVERAGE(IF(C22:C30&gt;0,ABS(C22:C30-C52*C10:C18)/C22:C30))</f>
        <v/>
      </c>
      <c r="D55" s="10">
        <f>AVERAGE(IF(D22:D30&gt;0,ABS(D22:D30-D52*C10:C18)/D22:D30))</f>
        <v/>
      </c>
      <c r="E55" s="10">
        <f>AVERAGE(IF(E22:E30&gt;0,ABS(E22:E30-E52*C10:C18)/E22:E30))</f>
        <v/>
      </c>
      <c r="F55" s="10">
        <f>AVERAGE(IF(F22:F30&gt;0,ABS(F22:F30-F52*C10:C18)/F22:F30))</f>
        <v/>
      </c>
    </row>
    <row r="62">
      <c r="A62" s="3" t="inlineStr">
        <is>
          <t>Template 3: T3 (Event at Node 3)</t>
        </is>
      </c>
    </row>
    <row r="63">
      <c r="A63" t="inlineStr">
        <is>
          <t>t·t =</t>
        </is>
      </c>
      <c r="B63" s="7">
        <f>SUMPRODUCT(D10:D18,D10:D18)</f>
        <v/>
      </c>
    </row>
    <row r="64">
      <c r="A64" s="4" t="inlineStr"/>
      <c r="B64" s="4" t="inlineStr">
        <is>
          <t>S1</t>
        </is>
      </c>
      <c r="C64" s="4" t="inlineStr">
        <is>
          <t>S2</t>
        </is>
      </c>
      <c r="D64" s="4" t="inlineStr">
        <is>
          <t>S3</t>
        </is>
      </c>
      <c r="E64" s="4" t="inlineStr">
        <is>
          <t>S4</t>
        </is>
      </c>
      <c r="F64" s="4" t="inlineStr">
        <is>
          <t>S5</t>
        </is>
      </c>
    </row>
    <row r="65">
      <c r="A65" s="5" t="inlineStr">
        <is>
          <t>x·t</t>
        </is>
      </c>
      <c r="B65" s="6">
        <f>SUMPRODUCT(B22:B30,D10:D18)</f>
        <v/>
      </c>
      <c r="C65" s="6">
        <f>SUMPRODUCT(C22:C30,D10:D18)</f>
        <v/>
      </c>
      <c r="D65" s="6">
        <f>SUMPRODUCT(D22:D30,D10:D18)</f>
        <v/>
      </c>
      <c r="E65" s="6">
        <f>SUMPRODUCT(E22:E30,D10:D18)</f>
        <v/>
      </c>
      <c r="F65" s="6">
        <f>SUMPRODUCT(F22:F30,D10:D18)</f>
        <v/>
      </c>
    </row>
    <row r="66">
      <c r="A66" s="5" t="inlineStr">
        <is>
          <t>λ*</t>
        </is>
      </c>
      <c r="B66" s="8">
        <f>MAX(0,B65/$B$63)</f>
        <v/>
      </c>
      <c r="C66" s="8">
        <f>MAX(0,C65/$B$63)</f>
        <v/>
      </c>
      <c r="D66" s="8">
        <f>MAX(0,D65/$B$63)</f>
        <v/>
      </c>
      <c r="E66" s="8">
        <f>MAX(0,E65/$B$63)</f>
        <v/>
      </c>
      <c r="F66" s="8">
        <f>MAX(0,F65/$B$63)</f>
        <v/>
      </c>
    </row>
    <row r="67">
      <c r="A67" s="5" t="inlineStr">
        <is>
          <t>Σ(x-λt)²</t>
        </is>
      </c>
      <c r="B67" s="9">
        <f>SUMPRODUCT((B22:B30-B66*D10:D18)^2)</f>
        <v/>
      </c>
      <c r="C67" s="9">
        <f>SUMPRODUCT((C22:C30-C66*D10:D18)^2)</f>
        <v/>
      </c>
      <c r="D67" s="9">
        <f>SUMPRODUCT((D22:D30-D66*D10:D18)^2)</f>
        <v/>
      </c>
      <c r="E67" s="9">
        <f>SUMPRODUCT((E22:E30-E66*D10:D18)^2)</f>
        <v/>
      </c>
      <c r="F67" s="9">
        <f>SUMPRODUCT((F22:F30-F66*D10:D18)^2)</f>
        <v/>
      </c>
    </row>
    <row r="68">
      <c r="A68" s="5" t="inlineStr">
        <is>
          <t>Σ|x-λt|</t>
        </is>
      </c>
      <c r="B68" s="9">
        <f>SUMPRODUCT(ABS(B22:B30-B66*D10:D18))</f>
        <v/>
      </c>
      <c r="C68" s="9">
        <f>SUMPRODUCT(ABS(C22:C30-C66*D10:D18))</f>
        <v/>
      </c>
      <c r="D68" s="9">
        <f>SUMPRODUCT(ABS(D22:D30-D66*D10:D18))</f>
        <v/>
      </c>
      <c r="E68" s="9">
        <f>SUMPRODUCT(ABS(E22:E30-E66*D10:D18))</f>
        <v/>
      </c>
      <c r="F68" s="9">
        <f>SUMPRODUCT(ABS(F22:F30-F66*D10:D18))</f>
        <v/>
      </c>
    </row>
    <row r="69">
      <c r="A69" s="5" t="inlineStr">
        <is>
          <t>MAPE (state)</t>
        </is>
      </c>
      <c r="B69" s="10">
        <f>AVERAGE(IF(B22:B30&gt;0,ABS(B22:B30-B66*D10:D18)/B22:B30))</f>
        <v/>
      </c>
      <c r="C69" s="10">
        <f>AVERAGE(IF(C22:C30&gt;0,ABS(C22:C30-C66*D10:D18)/C22:C30))</f>
        <v/>
      </c>
      <c r="D69" s="10">
        <f>AVERAGE(IF(D22:D30&gt;0,ABS(D22:D30-D66*D10:D18)/D22:D30))</f>
        <v/>
      </c>
      <c r="E69" s="10">
        <f>AVERAGE(IF(E22:E30&gt;0,ABS(E22:E30-E66*D10:D18)/E22:E30))</f>
        <v/>
      </c>
      <c r="F69" s="10">
        <f>AVERAGE(IF(F22:F30&gt;0,ABS(F22:F30-F66*D10:D18)/F22:F30))</f>
        <v/>
      </c>
    </row>
    <row r="76">
      <c r="A76" s="3" t="inlineStr">
        <is>
          <t>Template 4: T4 (Lower Incident)</t>
        </is>
      </c>
    </row>
    <row r="77">
      <c r="A77" t="inlineStr">
        <is>
          <t>t·t =</t>
        </is>
      </c>
      <c r="B77" s="7">
        <f>SUMPRODUCT(E10:E18,E10:E18)</f>
        <v/>
      </c>
    </row>
    <row r="78">
      <c r="A78" s="4" t="inlineStr"/>
      <c r="B78" s="4" t="inlineStr">
        <is>
          <t>S1</t>
        </is>
      </c>
      <c r="C78" s="4" t="inlineStr">
        <is>
          <t>S2</t>
        </is>
      </c>
      <c r="D78" s="4" t="inlineStr">
        <is>
          <t>S3</t>
        </is>
      </c>
      <c r="E78" s="4" t="inlineStr">
        <is>
          <t>S4</t>
        </is>
      </c>
      <c r="F78" s="4" t="inlineStr">
        <is>
          <t>S5</t>
        </is>
      </c>
    </row>
    <row r="79">
      <c r="A79" s="5" t="inlineStr">
        <is>
          <t>x·t</t>
        </is>
      </c>
      <c r="B79" s="6">
        <f>SUMPRODUCT(B22:B30,E10:E18)</f>
        <v/>
      </c>
      <c r="C79" s="6">
        <f>SUMPRODUCT(C22:C30,E10:E18)</f>
        <v/>
      </c>
      <c r="D79" s="6">
        <f>SUMPRODUCT(D22:D30,E10:E18)</f>
        <v/>
      </c>
      <c r="E79" s="6">
        <f>SUMPRODUCT(E22:E30,E10:E18)</f>
        <v/>
      </c>
      <c r="F79" s="6">
        <f>SUMPRODUCT(F22:F30,E10:E18)</f>
        <v/>
      </c>
    </row>
    <row r="80">
      <c r="A80" s="5" t="inlineStr">
        <is>
          <t>λ*</t>
        </is>
      </c>
      <c r="B80" s="8">
        <f>MAX(0,B79/$B$77)</f>
        <v/>
      </c>
      <c r="C80" s="8">
        <f>MAX(0,C79/$B$77)</f>
        <v/>
      </c>
      <c r="D80" s="8">
        <f>MAX(0,D79/$B$77)</f>
        <v/>
      </c>
      <c r="E80" s="8">
        <f>MAX(0,E79/$B$77)</f>
        <v/>
      </c>
      <c r="F80" s="8">
        <f>MAX(0,F79/$B$77)</f>
        <v/>
      </c>
    </row>
    <row r="81">
      <c r="A81" s="5" t="inlineStr">
        <is>
          <t>Σ(x-λt)²</t>
        </is>
      </c>
      <c r="B81" s="9">
        <f>SUMPRODUCT((B22:B30-B80*E10:E18)^2)</f>
        <v/>
      </c>
      <c r="C81" s="9">
        <f>SUMPRODUCT((C22:C30-C80*E10:E18)^2)</f>
        <v/>
      </c>
      <c r="D81" s="9">
        <f>SUMPRODUCT((D22:D30-D80*E10:E18)^2)</f>
        <v/>
      </c>
      <c r="E81" s="9">
        <f>SUMPRODUCT((E22:E30-E80*E10:E18)^2)</f>
        <v/>
      </c>
      <c r="F81" s="9">
        <f>SUMPRODUCT((F22:F30-F80*E10:E18)^2)</f>
        <v/>
      </c>
    </row>
    <row r="82">
      <c r="A82" s="5" t="inlineStr">
        <is>
          <t>Σ|x-λt|</t>
        </is>
      </c>
      <c r="B82" s="9">
        <f>SUMPRODUCT(ABS(B22:B30-B80*E10:E18))</f>
        <v/>
      </c>
      <c r="C82" s="9">
        <f>SUMPRODUCT(ABS(C22:C30-C80*E10:E18))</f>
        <v/>
      </c>
      <c r="D82" s="9">
        <f>SUMPRODUCT(ABS(D22:D30-D80*E10:E18))</f>
        <v/>
      </c>
      <c r="E82" s="9">
        <f>SUMPRODUCT(ABS(E22:E30-E80*E10:E18))</f>
        <v/>
      </c>
      <c r="F82" s="9">
        <f>SUMPRODUCT(ABS(F22:F30-F80*E10:E18))</f>
        <v/>
      </c>
    </row>
    <row r="83">
      <c r="A83" s="5" t="inlineStr">
        <is>
          <t>MAPE (state)</t>
        </is>
      </c>
      <c r="B83" s="10">
        <f>AVERAGE(IF(B22:B30&gt;0,ABS(B22:B30-B80*E10:E18)/B22:B30))</f>
        <v/>
      </c>
      <c r="C83" s="10">
        <f>AVERAGE(IF(C22:C30&gt;0,ABS(C22:C30-C80*E10:E18)/C22:C30))</f>
        <v/>
      </c>
      <c r="D83" s="10">
        <f>AVERAGE(IF(D22:D30&gt;0,ABS(D22:D30-D80*E10:E18)/D22:D30))</f>
        <v/>
      </c>
      <c r="E83" s="10">
        <f>AVERAGE(IF(E22:E30&gt;0,ABS(E22:E30-E80*E10:E18)/E22:E30))</f>
        <v/>
      </c>
      <c r="F83" s="10">
        <f>AVERAGE(IF(F22:F30&gt;0,ABS(F22:F30-F80*E10:E18)/F22:F30))</f>
        <v/>
      </c>
    </row>
    <row r="92">
      <c r="A92" s="3" t="inlineStr">
        <is>
          <t>Summary: Average Metrics over All Five States</t>
        </is>
      </c>
    </row>
    <row r="93">
      <c r="A93" s="4" t="inlineStr">
        <is>
          <t>Model</t>
        </is>
      </c>
      <c r="B93" s="4" t="inlineStr">
        <is>
          <t>RMSE</t>
        </is>
      </c>
      <c r="C93" s="4" t="inlineStr">
        <is>
          <t>MAE</t>
        </is>
      </c>
      <c r="D93" s="4" t="inlineStr">
        <is>
          <t>MAPE (%)</t>
        </is>
      </c>
    </row>
    <row r="94">
      <c r="A94" s="5" t="inlineStr">
        <is>
          <t>S=1, T1 (Free-Flow)</t>
        </is>
      </c>
      <c r="B94" s="11">
        <f>SQRT(SUM(B38:F38)/(5*9))</f>
        <v/>
      </c>
      <c r="C94" s="11">
        <f>SUM(B39:F39)/(5*9)</f>
        <v/>
      </c>
      <c r="D94" s="12">
        <f>AVERAGE(B40:F40)*100</f>
        <v/>
      </c>
    </row>
    <row r="95">
      <c r="A95" s="5" t="inlineStr">
        <is>
          <t>S=1, T2 (Peak Congestion)</t>
        </is>
      </c>
      <c r="B95" s="11">
        <f>SQRT(SUM(B52:F52)/(5*9))</f>
        <v/>
      </c>
      <c r="C95" s="11">
        <f>SUM(B53:F53)/(5*9)</f>
        <v/>
      </c>
      <c r="D95" s="12">
        <f>AVERAGE(B54:F54)*100</f>
        <v/>
      </c>
    </row>
    <row r="96">
      <c r="A96" s="5" t="inlineStr">
        <is>
          <t>S=1, T3 (Event at Node 3)</t>
        </is>
      </c>
      <c r="B96" s="11">
        <f>SQRT(SUM(B66:F66)/(5*9))</f>
        <v/>
      </c>
      <c r="C96" s="11">
        <f>SUM(B67:F67)/(5*9)</f>
        <v/>
      </c>
      <c r="D96" s="12">
        <f>AVERAGE(B68:F68)*100</f>
        <v/>
      </c>
    </row>
    <row r="97">
      <c r="A97" s="5" t="inlineStr">
        <is>
          <t>S=1, T4 (Lower Incident)</t>
        </is>
      </c>
      <c r="B97" s="11">
        <f>SQRT(SUM(B80:F80)/(5*9))</f>
        <v/>
      </c>
      <c r="C97" s="11">
        <f>SUM(B81:F81)/(5*9)</f>
        <v/>
      </c>
      <c r="D97" s="12">
        <f>AVERAGE(B82:F82)*100</f>
        <v/>
      </c>
    </row>
    <row r="98">
      <c r="A98" s="5" t="inlineStr">
        <is>
          <t>Multi-template (S=4)</t>
        </is>
      </c>
      <c r="B98" s="11" t="n">
        <v>0</v>
      </c>
      <c r="C98" s="11" t="n">
        <v>0</v>
      </c>
      <c r="D98" s="12" t="n">
        <v>0</v>
      </c>
    </row>
    <row r="99">
      <c r="A99" s="13" t="inlineStr">
        <is>
          <t>(All states lie in cone(T) by construction → exact reconstruction)</t>
        </is>
      </c>
    </row>
    <row r="101">
      <c r="A101" s="3" t="inlineStr">
        <is>
          <t>Expected from paper (cross-check)</t>
        </is>
      </c>
    </row>
    <row r="102">
      <c r="A102" s="4" t="inlineStr">
        <is>
          <t>Model</t>
        </is>
      </c>
      <c r="B102" s="4" t="inlineStr">
        <is>
          <t>RMSE</t>
        </is>
      </c>
      <c r="C102" s="4" t="inlineStr">
        <is>
          <t>MAE</t>
        </is>
      </c>
      <c r="D102" s="4" t="inlineStr">
        <is>
          <t>MAPE (%)</t>
        </is>
      </c>
    </row>
    <row r="103">
      <c r="A103" s="5" t="inlineStr">
        <is>
          <t>S=1, T1 (free-flow)</t>
        </is>
      </c>
      <c r="B103" s="5" t="n">
        <v>1.491</v>
      </c>
      <c r="C103" s="5" t="n">
        <v>1.138</v>
      </c>
      <c r="D103" s="5" t="n">
        <v>82.25</v>
      </c>
    </row>
    <row r="104">
      <c r="A104" s="5" t="inlineStr">
        <is>
          <t>S=1, T2 (peak)</t>
        </is>
      </c>
      <c r="B104" s="5" t="n">
        <v>1.271</v>
      </c>
      <c r="C104" s="5" t="n">
        <v>0.9360000000000001</v>
      </c>
      <c r="D104" s="5" t="n">
        <v>61.98</v>
      </c>
    </row>
    <row r="105">
      <c r="A105" s="5" t="inlineStr">
        <is>
          <t>S=1, T3 (event)</t>
        </is>
      </c>
      <c r="B105" s="5" t="n">
        <v>1.297</v>
      </c>
      <c r="C105" s="5" t="n">
        <v>0.993</v>
      </c>
      <c r="D105" s="5" t="n">
        <v>63.84</v>
      </c>
    </row>
    <row r="106">
      <c r="A106" s="5" t="inlineStr">
        <is>
          <t>S=1, T4 (incident)</t>
        </is>
      </c>
      <c r="B106" s="5" t="n">
        <v>1.234</v>
      </c>
      <c r="C106" s="5" t="n">
        <v>0.9370000000000001</v>
      </c>
      <c r="D106" s="5" t="n">
        <v>62.33</v>
      </c>
    </row>
    <row r="107">
      <c r="A107" s="5" t="inlineStr">
        <is>
          <t>Multi-template (S=4)</t>
        </is>
      </c>
      <c r="B107" s="5" t="n">
        <v>0</v>
      </c>
      <c r="C107" s="5" t="n">
        <v>0</v>
      </c>
      <c r="D107" s="5" t="n">
        <v>0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2026-03-23T06:10:05Z</dcterms:created>
  <dcterms:modified xmlns:dcterms="http://purl.org/dc/terms/" xmlns:xsi="http://www.w3.org/2001/XMLSchema-instance" xsi:type="dcterms:W3CDTF">2026-03-23T06:10:05Z</dcterms:modified>
</cp:coreProperties>
</file>