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wu03\Nutstore\1\Coding\Template\Excels\"/>
    </mc:Choice>
  </mc:AlternateContent>
  <xr:revisionPtr revIDLastSave="0" documentId="13_ncr:1_{E846FC4E-7CA2-4359-90BA-97091F16A9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Templates" sheetId="1" r:id="rId1"/>
    <sheet name="2 Combin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B21" i="1" a="1"/>
  <c r="C21" i="1" s="1"/>
  <c r="E21" i="1" l="1"/>
  <c r="F21" i="1"/>
  <c r="B22" i="1"/>
  <c r="C22" i="1"/>
  <c r="D22" i="1"/>
  <c r="E22" i="1"/>
  <c r="F22" i="1"/>
  <c r="D23" i="1"/>
  <c r="E23" i="1"/>
  <c r="D21" i="1"/>
  <c r="B23" i="1"/>
  <c r="C23" i="1"/>
  <c r="F23" i="1"/>
  <c r="B21" i="1"/>
  <c r="C29" i="1" l="1" a="1"/>
  <c r="C29" i="1" s="1"/>
  <c r="B12" i="2" a="1"/>
  <c r="B29" i="1" a="1"/>
  <c r="B29" i="1" s="1"/>
  <c r="D31" i="1" a="1"/>
  <c r="D31" i="1" s="1"/>
  <c r="C31" i="1" a="1"/>
  <c r="C31" i="1" s="1"/>
  <c r="B31" i="1" a="1"/>
  <c r="B31" i="1" s="1"/>
  <c r="B30" i="1" a="1"/>
  <c r="B30" i="1" s="1"/>
  <c r="D30" i="1" a="1"/>
  <c r="D30" i="1" s="1"/>
  <c r="C30" i="1" a="1"/>
  <c r="C30" i="1" s="1"/>
  <c r="F12" i="2" l="1"/>
  <c r="D12" i="2"/>
  <c r="C12" i="2"/>
  <c r="E12" i="2"/>
  <c r="B12" i="2"/>
  <c r="B17" i="2" l="1" a="1"/>
  <c r="D17" i="2" l="1"/>
  <c r="C17" i="2"/>
  <c r="B17" i="2"/>
</calcChain>
</file>

<file path=xl/sharedStrings.xml><?xml version="1.0" encoding="utf-8"?>
<sst xmlns="http://schemas.openxmlformats.org/spreadsheetml/2006/main" count="72" uniqueCount="44">
  <si>
    <t>Braess network (Section 4.2): templates</t>
  </si>
  <si>
    <t>Links: a (1→2), b (2→4), c (1→3), d (3→4), e (2→3, the Braess link). One OD pair 1→4 with demand q = 4.</t>
  </si>
  <si>
    <t>Link travel times: t_a = 10 v_a, t_b = 50, t_c = 50, t_d = 10 v_d, t_e = 10.</t>
  </si>
  <si>
    <t>Yellow cells are inputs; green cells are Excel formulas.</t>
  </si>
  <si>
    <t>Path-link incidence matrix δ (input): δ(p, l) = 1 if path p uses link l</t>
  </si>
  <si>
    <t>Path</t>
  </si>
  <si>
    <t>a</t>
  </si>
  <si>
    <t>b</t>
  </si>
  <si>
    <t>c</t>
  </si>
  <si>
    <t>d</t>
  </si>
  <si>
    <t>e</t>
  </si>
  <si>
    <t>P1</t>
  </si>
  <si>
    <t>P2</t>
  </si>
  <si>
    <t>P3</t>
  </si>
  <si>
    <t>Path flows f_s of each template (input)</t>
  </si>
  <si>
    <t>Template</t>
  </si>
  <si>
    <t>Template 1 (Normal day)</t>
  </si>
  <si>
    <t>Template 2 (Braess paradox day)</t>
  </si>
  <si>
    <t>Template 3 (Bounded-rational day)</t>
  </si>
  <si>
    <t>Link flows v_s of each template</t>
  </si>
  <si>
    <t>Formula: v_s = f_s δ</t>
  </si>
  <si>
    <t>The three templates are linearly independent (this matrix V has rank 3).</t>
  </si>
  <si>
    <t>Path travel times of each template</t>
  </si>
  <si>
    <t>Formula: link times t = (10 v_a, 50, 50, 10 v_d, 10);  path time = Σ_l δ(p, l) t_l</t>
  </si>
  <si>
    <t>Paths used</t>
  </si>
  <si>
    <t>not available</t>
  </si>
  <si>
    <t>P1, P2 (link e closed)</t>
  </si>
  <si>
    <t>P1, P2, P3</t>
  </si>
  <si>
    <t>Templates 1 and 2: the used paths have equal travel times (user equilibrium: 70 and 90). Template 3 is not an equilibrium (bounded rationality).</t>
  </si>
  <si>
    <t>Braess network (Section 4.2): a typical day as a combination of the templates</t>
  </si>
  <si>
    <t>A typical day with mostly normal routing, a slight Braess effect, and some bounded-rational behavior.</t>
  </si>
  <si>
    <t>Its weights λ are assumed here; in the MTCG they are learned from the link flows.</t>
  </si>
  <si>
    <t>Assumed weights λ (input)</t>
  </si>
  <si>
    <t>Template 1</t>
  </si>
  <si>
    <t>Template 2</t>
  </si>
  <si>
    <t>Template 3</t>
  </si>
  <si>
    <t>Sum</t>
  </si>
  <si>
    <t>λ</t>
  </si>
  <si>
    <t>Link flows of the typical day</t>
  </si>
  <si>
    <t>Formula: v̄ = λ V = Σ_s λ_s v_s</t>
  </si>
  <si>
    <t>v̄</t>
  </si>
  <si>
    <t>Weights recovered from the link flows (compare with the assumed λ)</t>
  </si>
  <si>
    <t>Formula: least squares:  λ = v̄ Vᵀ (V Vᵀ)⁻¹  (all five links observed)</t>
  </si>
  <si>
    <t>Recovered 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</si>
</sst>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555555"/>
      <name val="Calibri"/>
    </font>
    <font>
      <b/>
      <sz val="11"/>
      <color rgb="FF0000AA"/>
      <name val="Calibri"/>
    </font>
    <font>
      <b/>
      <sz val="11"/>
      <name val="Calibri"/>
    </font>
    <font>
      <sz val="11"/>
      <color rgb="FF7F3F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/>
  </sheetViews>
  <sheetFormatPr defaultRowHeight="15" x14ac:dyDescent="0.25"/>
  <cols>
    <col min="1" max="1" width="34" customWidth="1"/>
    <col min="2" max="4" width="10" customWidth="1"/>
    <col min="5" max="5" width="22" customWidth="1"/>
    <col min="6" max="6" width="10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6" spans="1:6" x14ac:dyDescent="0.25">
      <c r="A6" s="3" t="s">
        <v>4</v>
      </c>
    </row>
    <row r="7" spans="1:6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</row>
    <row r="8" spans="1:6" x14ac:dyDescent="0.25">
      <c r="A8" s="5" t="s">
        <v>11</v>
      </c>
      <c r="B8" s="6">
        <v>1</v>
      </c>
      <c r="C8" s="6">
        <v>1</v>
      </c>
      <c r="D8" s="6">
        <v>0</v>
      </c>
      <c r="E8" s="6">
        <v>0</v>
      </c>
      <c r="F8" s="6">
        <v>0</v>
      </c>
    </row>
    <row r="9" spans="1:6" x14ac:dyDescent="0.25">
      <c r="A9" s="5" t="s">
        <v>12</v>
      </c>
      <c r="B9" s="6">
        <v>0</v>
      </c>
      <c r="C9" s="6">
        <v>0</v>
      </c>
      <c r="D9" s="6">
        <v>1</v>
      </c>
      <c r="E9" s="6">
        <v>1</v>
      </c>
      <c r="F9" s="6">
        <v>0</v>
      </c>
    </row>
    <row r="10" spans="1:6" x14ac:dyDescent="0.25">
      <c r="A10" s="5" t="s">
        <v>13</v>
      </c>
      <c r="B10" s="6">
        <v>1</v>
      </c>
      <c r="C10" s="6">
        <v>0</v>
      </c>
      <c r="D10" s="6">
        <v>0</v>
      </c>
      <c r="E10" s="6">
        <v>1</v>
      </c>
      <c r="F10" s="6">
        <v>1</v>
      </c>
    </row>
    <row r="12" spans="1:6" x14ac:dyDescent="0.25">
      <c r="A12" s="3" t="s">
        <v>14</v>
      </c>
    </row>
    <row r="13" spans="1:6" x14ac:dyDescent="0.25">
      <c r="A13" s="4" t="s">
        <v>15</v>
      </c>
      <c r="B13" s="4" t="s">
        <v>11</v>
      </c>
      <c r="C13" s="4" t="s">
        <v>12</v>
      </c>
      <c r="D13" s="4" t="s">
        <v>13</v>
      </c>
    </row>
    <row r="14" spans="1:6" x14ac:dyDescent="0.25">
      <c r="A14" s="5" t="s">
        <v>16</v>
      </c>
      <c r="B14" s="6">
        <v>2</v>
      </c>
      <c r="C14" s="6">
        <v>2</v>
      </c>
      <c r="D14" s="6">
        <v>0</v>
      </c>
    </row>
    <row r="15" spans="1:6" x14ac:dyDescent="0.25">
      <c r="A15" s="5" t="s">
        <v>17</v>
      </c>
      <c r="B15" s="6">
        <v>0</v>
      </c>
      <c r="C15" s="6">
        <v>0</v>
      </c>
      <c r="D15" s="6">
        <v>4</v>
      </c>
    </row>
    <row r="16" spans="1:6" x14ac:dyDescent="0.25">
      <c r="A16" s="5" t="s">
        <v>18</v>
      </c>
      <c r="B16" s="6">
        <v>2</v>
      </c>
      <c r="C16" s="6">
        <v>1</v>
      </c>
      <c r="D16" s="6">
        <v>1</v>
      </c>
    </row>
    <row r="18" spans="1:6" x14ac:dyDescent="0.25">
      <c r="A18" s="3" t="s">
        <v>19</v>
      </c>
    </row>
    <row r="19" spans="1:6" x14ac:dyDescent="0.25">
      <c r="A19" s="7" t="s">
        <v>20</v>
      </c>
    </row>
    <row r="20" spans="1:6" x14ac:dyDescent="0.25">
      <c r="A20" s="4" t="s">
        <v>15</v>
      </c>
      <c r="B20" s="4" t="s">
        <v>6</v>
      </c>
      <c r="C20" s="4" t="s">
        <v>7</v>
      </c>
      <c r="D20" s="4" t="s">
        <v>8</v>
      </c>
      <c r="E20" s="4" t="s">
        <v>9</v>
      </c>
      <c r="F20" s="4" t="s">
        <v>10</v>
      </c>
    </row>
    <row r="21" spans="1:6" x14ac:dyDescent="0.25">
      <c r="A21" s="8" t="s">
        <v>16</v>
      </c>
      <c r="B21" s="9">
        <f t="array" ref="B21:F23">MMULT($B$14:$D$16,$B$8:$F$10)</f>
        <v>2</v>
      </c>
      <c r="C21" s="9">
        <v>2</v>
      </c>
      <c r="D21" s="9">
        <v>2</v>
      </c>
      <c r="E21" s="9">
        <v>2</v>
      </c>
      <c r="F21" s="9">
        <v>0</v>
      </c>
    </row>
    <row r="22" spans="1:6" x14ac:dyDescent="0.25">
      <c r="A22" s="8" t="s">
        <v>17</v>
      </c>
      <c r="B22" s="9">
        <v>4</v>
      </c>
      <c r="C22" s="9">
        <v>0</v>
      </c>
      <c r="D22" s="9">
        <v>0</v>
      </c>
      <c r="E22" s="9">
        <v>4</v>
      </c>
      <c r="F22" s="9">
        <v>4</v>
      </c>
    </row>
    <row r="23" spans="1:6" x14ac:dyDescent="0.25">
      <c r="A23" s="8" t="s">
        <v>18</v>
      </c>
      <c r="B23" s="9">
        <v>3</v>
      </c>
      <c r="C23" s="9">
        <v>2</v>
      </c>
      <c r="D23" s="9">
        <v>1</v>
      </c>
      <c r="E23" s="9">
        <v>2</v>
      </c>
      <c r="F23" s="9">
        <v>1</v>
      </c>
    </row>
    <row r="24" spans="1:6" x14ac:dyDescent="0.25">
      <c r="A24" s="2" t="s">
        <v>21</v>
      </c>
    </row>
    <row r="26" spans="1:6" x14ac:dyDescent="0.25">
      <c r="A26" s="3" t="s">
        <v>22</v>
      </c>
    </row>
    <row r="27" spans="1:6" x14ac:dyDescent="0.25">
      <c r="A27" s="7" t="s">
        <v>23</v>
      </c>
    </row>
    <row r="28" spans="1:6" x14ac:dyDescent="0.25">
      <c r="A28" s="4" t="s">
        <v>15</v>
      </c>
      <c r="B28" s="4" t="s">
        <v>11</v>
      </c>
      <c r="C28" s="4" t="s">
        <v>12</v>
      </c>
      <c r="D28" s="4" t="s">
        <v>13</v>
      </c>
      <c r="E28" s="4" t="s">
        <v>24</v>
      </c>
    </row>
    <row r="29" spans="1:6" x14ac:dyDescent="0.25">
      <c r="A29" s="8" t="s">
        <v>16</v>
      </c>
      <c r="B29" s="9">
        <f t="array" ref="B29">SUMPRODUCT($B$8:$F$8,CHOOSE({1,2,3,4,5},10*B21,50,50,10*E21,10))</f>
        <v>70</v>
      </c>
      <c r="C29" s="9">
        <f t="array" ref="C29">SUMPRODUCT($B$9:$F$9,CHOOSE({1,2,3,4,5},10*B21,50,50,10*E21,10))</f>
        <v>70</v>
      </c>
      <c r="D29" s="10" t="s">
        <v>25</v>
      </c>
      <c r="E29" s="8" t="s">
        <v>26</v>
      </c>
    </row>
    <row r="30" spans="1:6" x14ac:dyDescent="0.25">
      <c r="A30" s="8" t="s">
        <v>17</v>
      </c>
      <c r="B30" s="9">
        <f t="array" ref="B30">SUMPRODUCT($B$8:$F$8,CHOOSE({1,2,3,4,5},10*B22,50,50,10*E22,10))</f>
        <v>90</v>
      </c>
      <c r="C30" s="9">
        <f t="array" ref="C30">SUMPRODUCT($B$9:$F$9,CHOOSE({1,2,3,4,5},10*B22,50,50,10*E22,10))</f>
        <v>90</v>
      </c>
      <c r="D30" s="9">
        <f t="array" ref="D30">SUMPRODUCT($B$10:$F$10,CHOOSE({1,2,3,4,5},10*B22,50,50,10*E22,10))</f>
        <v>90</v>
      </c>
      <c r="E30" s="8" t="s">
        <v>13</v>
      </c>
    </row>
    <row r="31" spans="1:6" x14ac:dyDescent="0.25">
      <c r="A31" s="8" t="s">
        <v>18</v>
      </c>
      <c r="B31" s="9">
        <f t="array" ref="B31">SUMPRODUCT($B$8:$F$8,CHOOSE({1,2,3,4,5},10*B23,50,50,10*E23,10))</f>
        <v>80</v>
      </c>
      <c r="C31" s="9">
        <f t="array" ref="C31">SUMPRODUCT($B$9:$F$9,CHOOSE({1,2,3,4,5},10*B23,50,50,10*E23,10))</f>
        <v>70</v>
      </c>
      <c r="D31" s="9">
        <f t="array" ref="D31">SUMPRODUCT($B$10:$F$10,CHOOSE({1,2,3,4,5},10*B23,50,50,10*E23,10))</f>
        <v>60</v>
      </c>
      <c r="E31" s="8" t="s">
        <v>27</v>
      </c>
    </row>
    <row r="32" spans="1:6" x14ac:dyDescent="0.25">
      <c r="A32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5" x14ac:dyDescent="0.25"/>
  <cols>
    <col min="1" max="1" width="34" customWidth="1"/>
    <col min="2" max="6" width="12" customWidth="1"/>
  </cols>
  <sheetData>
    <row r="1" spans="1:6" ht="18.75" x14ac:dyDescent="0.3">
      <c r="A1" s="1" t="s">
        <v>29</v>
      </c>
    </row>
    <row r="2" spans="1:6" x14ac:dyDescent="0.25">
      <c r="A2" s="2" t="s">
        <v>30</v>
      </c>
    </row>
    <row r="3" spans="1:6" x14ac:dyDescent="0.25">
      <c r="A3" s="2" t="s">
        <v>31</v>
      </c>
    </row>
    <row r="5" spans="1:6" x14ac:dyDescent="0.25">
      <c r="A5" s="3" t="s">
        <v>32</v>
      </c>
    </row>
    <row r="6" spans="1:6" x14ac:dyDescent="0.25">
      <c r="A6" s="4"/>
      <c r="B6" s="4" t="s">
        <v>33</v>
      </c>
      <c r="C6" s="4" t="s">
        <v>34</v>
      </c>
      <c r="D6" s="4" t="s">
        <v>35</v>
      </c>
      <c r="E6" s="4" t="s">
        <v>36</v>
      </c>
    </row>
    <row r="7" spans="1:6" x14ac:dyDescent="0.25">
      <c r="A7" s="5" t="s">
        <v>37</v>
      </c>
      <c r="B7" s="11">
        <v>0.6</v>
      </c>
      <c r="C7" s="11">
        <v>0.1</v>
      </c>
      <c r="D7" s="11">
        <v>0.3</v>
      </c>
      <c r="E7" s="12">
        <f>SUM(B7:D7)</f>
        <v>1</v>
      </c>
    </row>
    <row r="9" spans="1:6" x14ac:dyDescent="0.25">
      <c r="A9" s="3" t="s">
        <v>38</v>
      </c>
    </row>
    <row r="10" spans="1:6" x14ac:dyDescent="0.25">
      <c r="A10" s="7" t="s">
        <v>39</v>
      </c>
    </row>
    <row r="11" spans="1:6" x14ac:dyDescent="0.25">
      <c r="A11" s="4"/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</row>
    <row r="12" spans="1:6" x14ac:dyDescent="0.25">
      <c r="A12" s="8" t="s">
        <v>40</v>
      </c>
      <c r="B12" s="13">
        <f t="array" ref="B12:F12">MMULT($B$7:$D$7,'1 Templates'!$B$21:$F$23)</f>
        <v>2.5</v>
      </c>
      <c r="C12" s="13">
        <v>1.7999999999999998</v>
      </c>
      <c r="D12" s="13">
        <v>1.5</v>
      </c>
      <c r="E12" s="13">
        <v>2.2000000000000002</v>
      </c>
      <c r="F12" s="13">
        <v>0.7</v>
      </c>
    </row>
    <row r="14" spans="1:6" x14ac:dyDescent="0.25">
      <c r="A14" s="3" t="s">
        <v>41</v>
      </c>
    </row>
    <row r="15" spans="1:6" x14ac:dyDescent="0.25">
      <c r="A15" s="7" t="s">
        <v>42</v>
      </c>
    </row>
    <row r="16" spans="1:6" x14ac:dyDescent="0.25">
      <c r="A16" s="4"/>
      <c r="B16" s="4" t="s">
        <v>33</v>
      </c>
      <c r="C16" s="4" t="s">
        <v>34</v>
      </c>
      <c r="D16" s="4" t="s">
        <v>35</v>
      </c>
    </row>
    <row r="17" spans="1:4" x14ac:dyDescent="0.25">
      <c r="A17" s="8" t="s">
        <v>43</v>
      </c>
      <c r="B17" s="14">
        <f t="array" ref="B17:D17">MMULT(MMULT($B$12:$F$12,TRANSPOSE('1 Templates'!$B$21:$F$23)),MINVERSE(MMULT('1 Templates'!$B$21:$F$23,TRANSPOSE('1 Templates'!$B$21:$F$23))))</f>
        <v>0.60000000000000142</v>
      </c>
      <c r="C17" s="14">
        <v>0.10000000000000053</v>
      </c>
      <c r="D17" s="14">
        <v>0.30000000000000071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Templates</vt:lpstr>
      <vt:lpstr>2 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Wu</cp:lastModifiedBy>
  <dcterms:created xsi:type="dcterms:W3CDTF">2026-10-04T00:21:28Z</dcterms:created>
  <dcterms:modified xsi:type="dcterms:W3CDTF">2026-10-04T00:21:31Z</dcterms:modified>
</cp:coreProperties>
</file>