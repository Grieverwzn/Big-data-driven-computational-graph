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ates" sheetId="1" state="visible" r:id="rId1"/>
    <sheet xmlns:r="http://schemas.openxmlformats.org/officeDocument/2006/relationships" name="Conic Combinations" sheetId="2" state="visible" r:id="rId2"/>
    <sheet xmlns:r="http://schemas.openxmlformats.org/officeDocument/2006/relationships" name="Reconstruction Err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0000AA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Section 4.2 — Braess Network Verification</t>
        </is>
      </c>
    </row>
    <row r="3">
      <c r="A3" t="inlineStr">
        <is>
          <t>Network: 4 nodes, 5 links, OD pair (1→4), demand d = 4</t>
        </is>
      </c>
    </row>
    <row r="4">
      <c r="A4" t="inlineStr">
        <is>
          <t>Paths:</t>
        </is>
      </c>
      <c r="B4" t="inlineStr">
        <is>
          <t>P1 = 1→2→4  (links a,b)</t>
        </is>
      </c>
    </row>
    <row r="5">
      <c r="B5" t="inlineStr">
        <is>
          <t>P2 = 1→3→4  (links c,d)</t>
        </is>
      </c>
    </row>
    <row r="6">
      <c r="B6" t="inlineStr">
        <is>
          <t>P3 = 1→2→3→4 (links a,e,d)</t>
        </is>
      </c>
    </row>
    <row r="8">
      <c r="A8" s="2" t="inlineStr">
        <is>
          <t>Path-Link Incidence Matrix δ (5×3)</t>
        </is>
      </c>
    </row>
    <row r="9">
      <c r="A9" s="3" t="inlineStr"/>
      <c r="B9" s="3" t="inlineStr">
        <is>
          <t>P1</t>
        </is>
      </c>
      <c r="C9" s="3" t="inlineStr">
        <is>
          <t>P2</t>
        </is>
      </c>
      <c r="D9" s="3" t="inlineStr">
        <is>
          <t>P3</t>
        </is>
      </c>
    </row>
    <row r="10">
      <c r="A10" s="4" t="inlineStr">
        <is>
          <t>a (1→2)</t>
        </is>
      </c>
      <c r="B10" s="4" t="n">
        <v>1</v>
      </c>
      <c r="C10" s="4" t="n">
        <v>0</v>
      </c>
      <c r="D10" s="4" t="n">
        <v>1</v>
      </c>
    </row>
    <row r="11">
      <c r="A11" s="4" t="inlineStr">
        <is>
          <t>b (2→4)</t>
        </is>
      </c>
      <c r="B11" s="4" t="n">
        <v>1</v>
      </c>
      <c r="C11" s="4" t="n">
        <v>0</v>
      </c>
      <c r="D11" s="4" t="n">
        <v>0</v>
      </c>
    </row>
    <row r="12">
      <c r="A12" s="4" t="inlineStr">
        <is>
          <t>c (1→3)</t>
        </is>
      </c>
      <c r="B12" s="4" t="n">
        <v>0</v>
      </c>
      <c r="C12" s="4" t="n">
        <v>1</v>
      </c>
      <c r="D12" s="4" t="n">
        <v>0</v>
      </c>
    </row>
    <row r="13">
      <c r="A13" s="4" t="inlineStr">
        <is>
          <t>d (3→4)</t>
        </is>
      </c>
      <c r="B13" s="4" t="n">
        <v>0</v>
      </c>
      <c r="C13" s="4" t="n">
        <v>1</v>
      </c>
      <c r="D13" s="4" t="n">
        <v>1</v>
      </c>
    </row>
    <row r="14">
      <c r="A14" s="4" t="inlineStr">
        <is>
          <t>e (2→3)</t>
        </is>
      </c>
      <c r="B14" s="4" t="n">
        <v>0</v>
      </c>
      <c r="C14" s="4" t="n">
        <v>0</v>
      </c>
      <c r="D14" s="4" t="n">
        <v>1</v>
      </c>
    </row>
    <row r="16">
      <c r="A16" s="2" t="inlineStr">
        <is>
          <t>Template Path Flows f</t>
        </is>
      </c>
    </row>
    <row r="17">
      <c r="A17" s="3" t="inlineStr"/>
      <c r="B17" s="3" t="inlineStr">
        <is>
          <t>f1</t>
        </is>
      </c>
      <c r="C17" s="3" t="inlineStr">
        <is>
          <t>f2</t>
        </is>
      </c>
      <c r="D17" s="3" t="inlineStr">
        <is>
          <t>f3</t>
        </is>
      </c>
    </row>
    <row r="18">
      <c r="A18" s="4" t="inlineStr">
        <is>
          <t>T1 (Normal Day)</t>
        </is>
      </c>
      <c r="B18" s="4" t="n">
        <v>2</v>
      </c>
      <c r="C18" s="4" t="n">
        <v>2</v>
      </c>
      <c r="D18" s="4" t="n">
        <v>0</v>
      </c>
    </row>
    <row r="19">
      <c r="A19" s="4" t="inlineStr">
        <is>
          <t>T2 (Braess Paradox)</t>
        </is>
      </c>
      <c r="B19" s="4" t="n">
        <v>0</v>
      </c>
      <c r="C19" s="4" t="n">
        <v>0</v>
      </c>
      <c r="D19" s="4" t="n">
        <v>4</v>
      </c>
    </row>
    <row r="20">
      <c r="A20" s="4" t="inlineStr">
        <is>
          <t>T3 (Bounded Rational)</t>
        </is>
      </c>
      <c r="B20" s="4" t="n">
        <v>1</v>
      </c>
      <c r="C20" s="4" t="n">
        <v>1</v>
      </c>
      <c r="D20" s="4" t="n">
        <v>2</v>
      </c>
    </row>
    <row r="22">
      <c r="A22" s="2" t="inlineStr">
        <is>
          <t>Template Link Flows x^(s) = δ · f^(s)  [formula-based]</t>
        </is>
      </c>
    </row>
    <row r="23">
      <c r="A23" s="3" t="inlineStr">
        <is>
          <t>Link</t>
        </is>
      </c>
      <c r="B23" s="3" t="inlineStr">
        <is>
          <t>T1</t>
        </is>
      </c>
      <c r="C23" s="3" t="inlineStr">
        <is>
          <t>T2</t>
        </is>
      </c>
      <c r="D23" s="3" t="inlineStr">
        <is>
          <t>T3</t>
        </is>
      </c>
    </row>
    <row r="24">
      <c r="A24" s="4" t="inlineStr">
        <is>
          <t>a (1→2)</t>
        </is>
      </c>
      <c r="B24" s="5">
        <f>SUMPRODUCT($B$10:$D$10,$B$18:$D$18)</f>
        <v/>
      </c>
      <c r="C24" s="5">
        <f>SUMPRODUCT($B$10:$D$10,$B$19:$D$19)</f>
        <v/>
      </c>
      <c r="D24" s="5">
        <f>SUMPRODUCT($B$10:$D$10,$B$20:$D$20)</f>
        <v/>
      </c>
    </row>
    <row r="25">
      <c r="A25" s="4" t="inlineStr">
        <is>
          <t>b (2→4)</t>
        </is>
      </c>
      <c r="B25" s="5">
        <f>SUMPRODUCT($B$11:$D$11,$B$18:$D$18)</f>
        <v/>
      </c>
      <c r="C25" s="5">
        <f>SUMPRODUCT($B$11:$D$11,$B$19:$D$19)</f>
        <v/>
      </c>
      <c r="D25" s="5">
        <f>SUMPRODUCT($B$11:$D$11,$B$20:$D$20)</f>
        <v/>
      </c>
    </row>
    <row r="26">
      <c r="A26" s="4" t="inlineStr">
        <is>
          <t>c (1→3)</t>
        </is>
      </c>
      <c r="B26" s="5">
        <f>SUMPRODUCT($B$12:$D$12,$B$18:$D$18)</f>
        <v/>
      </c>
      <c r="C26" s="5">
        <f>SUMPRODUCT($B$12:$D$12,$B$19:$D$19)</f>
        <v/>
      </c>
      <c r="D26" s="5">
        <f>SUMPRODUCT($B$12:$D$12,$B$20:$D$20)</f>
        <v/>
      </c>
    </row>
    <row r="27">
      <c r="A27" s="4" t="inlineStr">
        <is>
          <t>d (3→4)</t>
        </is>
      </c>
      <c r="B27" s="5">
        <f>SUMPRODUCT($B$13:$D$13,$B$18:$D$18)</f>
        <v/>
      </c>
      <c r="C27" s="5">
        <f>SUMPRODUCT($B$13:$D$13,$B$19:$D$19)</f>
        <v/>
      </c>
      <c r="D27" s="5">
        <f>SUMPRODUCT($B$13:$D$13,$B$20:$D$20)</f>
        <v/>
      </c>
    </row>
    <row r="28">
      <c r="A28" s="4" t="inlineStr">
        <is>
          <t>e (2→3)</t>
        </is>
      </c>
      <c r="B28" s="5">
        <f>SUMPRODUCT($B$14:$D$14,$B$18:$D$18)</f>
        <v/>
      </c>
      <c r="C28" s="5">
        <f>SUMPRODUCT($B$14:$D$14,$B$19:$D$19)</f>
        <v/>
      </c>
      <c r="D28" s="5">
        <f>SUMPRODUCT($B$14:$D$14,$B$20:$D$20)</f>
        <v/>
      </c>
    </row>
    <row r="30">
      <c r="A30" s="2" t="inlineStr">
        <is>
          <t>Expected (from paper) — for cross-check</t>
        </is>
      </c>
    </row>
    <row r="31">
      <c r="A31" s="3" t="inlineStr">
        <is>
          <t>Link</t>
        </is>
      </c>
      <c r="B31" s="3" t="inlineStr">
        <is>
          <t>T1</t>
        </is>
      </c>
      <c r="C31" s="3" t="inlineStr">
        <is>
          <t>T2</t>
        </is>
      </c>
      <c r="D31" s="3" t="inlineStr">
        <is>
          <t>T3</t>
        </is>
      </c>
    </row>
    <row r="32">
      <c r="A32" s="4" t="inlineStr">
        <is>
          <t>a (1→2)</t>
        </is>
      </c>
      <c r="B32" s="4" t="n">
        <v>2</v>
      </c>
      <c r="C32" s="4" t="n">
        <v>4</v>
      </c>
      <c r="D32" s="4" t="n">
        <v>3</v>
      </c>
    </row>
    <row r="33">
      <c r="A33" s="4" t="inlineStr">
        <is>
          <t>b (2→4)</t>
        </is>
      </c>
      <c r="B33" s="4" t="n">
        <v>2</v>
      </c>
      <c r="C33" s="4" t="n">
        <v>0</v>
      </c>
      <c r="D33" s="4" t="n">
        <v>1</v>
      </c>
    </row>
    <row r="34">
      <c r="A34" s="4" t="inlineStr">
        <is>
          <t>c (1→3)</t>
        </is>
      </c>
      <c r="B34" s="4" t="n">
        <v>2</v>
      </c>
      <c r="C34" s="4" t="n">
        <v>0</v>
      </c>
      <c r="D34" s="4" t="n">
        <v>1</v>
      </c>
    </row>
    <row r="35">
      <c r="A35" s="4" t="inlineStr">
        <is>
          <t>d (3→4)</t>
        </is>
      </c>
      <c r="B35" s="4" t="n">
        <v>2</v>
      </c>
      <c r="C35" s="4" t="n">
        <v>4</v>
      </c>
      <c r="D35" s="4" t="n">
        <v>3</v>
      </c>
    </row>
    <row r="36">
      <c r="A36" s="4" t="inlineStr">
        <is>
          <t>e (2→3)</t>
        </is>
      </c>
      <c r="B36" s="4" t="n">
        <v>0</v>
      </c>
      <c r="C36" s="4" t="n">
        <v>4</v>
      </c>
      <c r="D36" s="4" t="n">
        <v>2</v>
      </c>
    </row>
    <row r="38">
      <c r="A38" s="2" t="inlineStr">
        <is>
          <t>Match check (formula = expected)?</t>
        </is>
      </c>
    </row>
    <row r="39">
      <c r="A39" s="3" t="inlineStr">
        <is>
          <t>Link</t>
        </is>
      </c>
      <c r="B39" s="3" t="inlineStr">
        <is>
          <t>T1</t>
        </is>
      </c>
      <c r="C39" s="3" t="inlineStr">
        <is>
          <t>T2</t>
        </is>
      </c>
      <c r="D39" s="3" t="inlineStr">
        <is>
          <t>T3</t>
        </is>
      </c>
    </row>
    <row r="40">
      <c r="A40" s="4" t="inlineStr">
        <is>
          <t>a (1→2)</t>
        </is>
      </c>
      <c r="B40" s="5">
        <f>IF(B24=B32,"OK","MISMATCH")</f>
        <v/>
      </c>
      <c r="C40" s="5">
        <f>IF(C24=C32,"OK","MISMATCH")</f>
        <v/>
      </c>
      <c r="D40" s="5">
        <f>IF(D24=D32,"OK","MISMATCH")</f>
        <v/>
      </c>
    </row>
    <row r="41">
      <c r="A41" s="4" t="inlineStr">
        <is>
          <t>b (2→4)</t>
        </is>
      </c>
      <c r="B41" s="5">
        <f>IF(B25=B33,"OK","MISMATCH")</f>
        <v/>
      </c>
      <c r="C41" s="5">
        <f>IF(C25=C33,"OK","MISMATCH")</f>
        <v/>
      </c>
      <c r="D41" s="5">
        <f>IF(D25=D33,"OK","MISMATCH")</f>
        <v/>
      </c>
    </row>
    <row r="42">
      <c r="A42" s="4" t="inlineStr">
        <is>
          <t>c (1→3)</t>
        </is>
      </c>
      <c r="B42" s="5">
        <f>IF(B26=B34,"OK","MISMATCH")</f>
        <v/>
      </c>
      <c r="C42" s="5">
        <f>IF(C26=C34,"OK","MISMATCH")</f>
        <v/>
      </c>
      <c r="D42" s="5">
        <f>IF(D26=D34,"OK","MISMATCH")</f>
        <v/>
      </c>
    </row>
    <row r="43">
      <c r="A43" s="4" t="inlineStr">
        <is>
          <t>d (3→4)</t>
        </is>
      </c>
      <c r="B43" s="5">
        <f>IF(B27=B35,"OK","MISMATCH")</f>
        <v/>
      </c>
      <c r="C43" s="5">
        <f>IF(C27=C35,"OK","MISMATCH")</f>
        <v/>
      </c>
      <c r="D43" s="5">
        <f>IF(D27=D35,"OK","MISMATCH")</f>
        <v/>
      </c>
    </row>
    <row r="44">
      <c r="A44" s="4" t="inlineStr">
        <is>
          <t>e (2→3)</t>
        </is>
      </c>
      <c r="B44" s="5">
        <f>IF(B28=B36,"OK","MISMATCH")</f>
        <v/>
      </c>
      <c r="C44" s="5">
        <f>IF(C28=C36,"OK","MISMATCH")</f>
        <v/>
      </c>
      <c r="D44" s="5">
        <f>IF(D28=D36,"OK","MISMATCH")</f>
        <v/>
      </c>
    </row>
    <row r="46">
      <c r="A46" s="2" t="inlineStr">
        <is>
          <t>Template 1 UE Check: t_P1 = t_P2 when f1=f2=2</t>
        </is>
      </c>
    </row>
    <row r="47">
      <c r="A47" t="inlineStr">
        <is>
          <t>Cost P1 = 10*f1 + 50</t>
        </is>
      </c>
      <c r="B47" s="6">
        <f>10*B18+50</f>
        <v/>
      </c>
    </row>
    <row r="48">
      <c r="A48" t="inlineStr">
        <is>
          <t>Cost P2 = 50 + 10*f2</t>
        </is>
      </c>
      <c r="B48" s="6">
        <f>50+10*C18</f>
        <v/>
      </c>
    </row>
    <row r="49">
      <c r="A49" t="inlineStr">
        <is>
          <t>Equal?</t>
        </is>
      </c>
      <c r="B49" s="6">
        <f>IF(B47=B48,"YES - UE holds","NO")</f>
        <v/>
      </c>
    </row>
    <row r="50">
      <c r="A50" t="inlineStr">
        <is>
          <t>Equilibrium travel time</t>
        </is>
      </c>
      <c r="B50" s="6">
        <f>B47</f>
        <v/>
      </c>
    </row>
    <row r="52">
      <c r="A52" s="2" t="inlineStr">
        <is>
          <t>Template 2 UE Check: all demand on P3, f3=4</t>
        </is>
      </c>
    </row>
    <row r="53">
      <c r="A53" t="inlineStr">
        <is>
          <t>Cost P3 = 10*(f1+f3)+10+10*(f2+f3)</t>
        </is>
      </c>
      <c r="B53" s="6">
        <f>10*(B19+D19)+10+10*(C19+D19)</f>
        <v/>
      </c>
    </row>
    <row r="54">
      <c r="A54" t="inlineStr">
        <is>
          <t>Expected travel time</t>
        </is>
      </c>
      <c r="B54" t="n">
        <v>90</v>
      </c>
    </row>
    <row r="55">
      <c r="A55" t="inlineStr">
        <is>
          <t>Match?</t>
        </is>
      </c>
      <c r="B55" s="6">
        <f>IF(B53=B54,"YES","NO")</f>
        <v/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Template Matrix T and Conic Combinations</t>
        </is>
      </c>
    </row>
    <row r="3">
      <c r="A3" s="2" t="inlineStr">
        <is>
          <t>Template Matrix T  (|A|×S = 5×3)</t>
        </is>
      </c>
    </row>
    <row r="4">
      <c r="A4" s="3" t="inlineStr">
        <is>
          <t>Link</t>
        </is>
      </c>
      <c r="B4" s="3" t="inlineStr">
        <is>
          <t>x^(1)</t>
        </is>
      </c>
      <c r="C4" s="3" t="inlineStr">
        <is>
          <t>x^(2)</t>
        </is>
      </c>
      <c r="D4" s="3" t="inlineStr">
        <is>
          <t>x^(3)</t>
        </is>
      </c>
    </row>
    <row r="5">
      <c r="A5" s="4" t="inlineStr">
        <is>
          <t>a (1→2)</t>
        </is>
      </c>
      <c r="B5" s="4">
        <f>Templates!B24</f>
        <v/>
      </c>
      <c r="C5" s="4">
        <f>Templates!C24</f>
        <v/>
      </c>
      <c r="D5" s="4">
        <f>Templates!D24</f>
        <v/>
      </c>
    </row>
    <row r="6">
      <c r="A6" s="4" t="inlineStr">
        <is>
          <t>b (2→4)</t>
        </is>
      </c>
      <c r="B6" s="4">
        <f>Templates!B25</f>
        <v/>
      </c>
      <c r="C6" s="4">
        <f>Templates!C25</f>
        <v/>
      </c>
      <c r="D6" s="4">
        <f>Templates!D25</f>
        <v/>
      </c>
    </row>
    <row r="7">
      <c r="A7" s="4" t="inlineStr">
        <is>
          <t>c (1→3)</t>
        </is>
      </c>
      <c r="B7" s="4">
        <f>Templates!B26</f>
        <v/>
      </c>
      <c r="C7" s="4">
        <f>Templates!C26</f>
        <v/>
      </c>
      <c r="D7" s="4">
        <f>Templates!D26</f>
        <v/>
      </c>
    </row>
    <row r="8">
      <c r="A8" s="4" t="inlineStr">
        <is>
          <t>d (3→4)</t>
        </is>
      </c>
      <c r="B8" s="4">
        <f>Templates!B27</f>
        <v/>
      </c>
      <c r="C8" s="4">
        <f>Templates!C27</f>
        <v/>
      </c>
      <c r="D8" s="4">
        <f>Templates!D27</f>
        <v/>
      </c>
    </row>
    <row r="9">
      <c r="A9" s="4" t="inlineStr">
        <is>
          <t>e (2→3)</t>
        </is>
      </c>
      <c r="B9" s="4">
        <f>Templates!B28</f>
        <v/>
      </c>
      <c r="C9" s="4">
        <f>Templates!C28</f>
        <v/>
      </c>
      <c r="D9" s="4">
        <f>Templates!D28</f>
        <v/>
      </c>
    </row>
    <row r="11">
      <c r="A11" s="2" t="inlineStr">
        <is>
          <t>Rank Check: 3×3 submatrix (rows b, c, e)</t>
        </is>
      </c>
    </row>
    <row r="12">
      <c r="A12" s="3" t="inlineStr"/>
      <c r="B12" s="3" t="inlineStr">
        <is>
          <t>x^(1)</t>
        </is>
      </c>
      <c r="C12" s="3" t="inlineStr">
        <is>
          <t>x^(2)</t>
        </is>
      </c>
      <c r="D12" s="3" t="inlineStr">
        <is>
          <t>x^(3)</t>
        </is>
      </c>
    </row>
    <row r="13">
      <c r="A13" s="4" t="inlineStr">
        <is>
          <t>Link b</t>
        </is>
      </c>
      <c r="B13" s="4">
        <f>B6</f>
        <v/>
      </c>
      <c r="C13" s="4">
        <f>C6</f>
        <v/>
      </c>
      <c r="D13" s="4">
        <f>D6</f>
        <v/>
      </c>
    </row>
    <row r="14">
      <c r="A14" s="4" t="inlineStr">
        <is>
          <t>Link c</t>
        </is>
      </c>
      <c r="B14" s="4">
        <f>B7</f>
        <v/>
      </c>
      <c r="C14" s="4">
        <f>C7</f>
        <v/>
      </c>
      <c r="D14" s="4">
        <f>D7</f>
        <v/>
      </c>
    </row>
    <row r="15">
      <c r="A15" s="4" t="inlineStr">
        <is>
          <t>Link e</t>
        </is>
      </c>
      <c r="B15" s="4">
        <f>B9</f>
        <v/>
      </c>
      <c r="C15" s="4">
        <f>C9</f>
        <v/>
      </c>
      <c r="D15" s="4">
        <f>D9</f>
        <v/>
      </c>
    </row>
    <row r="17">
      <c r="A17" s="2" t="inlineStr">
        <is>
          <t>Determinant of submatrix</t>
        </is>
      </c>
      <c r="B17" s="6">
        <f>B13*(C14*D15-D14*C15)-C13*(B14*D15-D14*B15)+D13*(B14*C15-C14*B15)</f>
        <v/>
      </c>
    </row>
    <row r="18">
      <c r="A18" t="inlineStr">
        <is>
          <t>Expected determinant</t>
        </is>
      </c>
      <c r="B18" t="n">
        <v>-8</v>
      </c>
    </row>
    <row r="19">
      <c r="A19" t="inlineStr">
        <is>
          <t>rank(T) = 3?</t>
        </is>
      </c>
      <c r="B19" s="6">
        <f>IF(B17&lt;&gt;0,"YES, rank=3 (det≠0)","NO, rank&lt;3")</f>
        <v/>
      </c>
    </row>
    <row r="22">
      <c r="A22" s="2" t="inlineStr">
        <is>
          <t>Conic Combination Examples</t>
        </is>
      </c>
    </row>
    <row r="23">
      <c r="A23" s="3" t="inlineStr">
        <is>
          <t>Scenario</t>
        </is>
      </c>
      <c r="B23" s="3" t="inlineStr">
        <is>
          <t>α1</t>
        </is>
      </c>
      <c r="C23" s="3" t="inlineStr">
        <is>
          <t>α2</t>
        </is>
      </c>
      <c r="D23" s="3" t="inlineStr">
        <is>
          <t>α3</t>
        </is>
      </c>
      <c r="E23" s="3" t="inlineStr">
        <is>
          <t>Description</t>
        </is>
      </c>
    </row>
    <row r="24">
      <c r="A24" s="4" t="inlineStr">
        <is>
          <t>S1 (Tuesday)</t>
        </is>
      </c>
      <c r="B24" s="4" t="n">
        <v>0.6</v>
      </c>
      <c r="C24" s="4" t="n">
        <v>0.1</v>
      </c>
      <c r="D24" s="4" t="n">
        <v>0.3</v>
      </c>
      <c r="E24" s="4" t="inlineStr">
        <is>
          <t>Mixed: mostly normal + some bounded-rational</t>
        </is>
      </c>
    </row>
    <row r="25">
      <c r="A25" s="4" t="inlineStr">
        <is>
          <t>S2 (Monday peak)</t>
        </is>
      </c>
      <c r="B25" s="4" t="n">
        <v>0</v>
      </c>
      <c r="C25" s="4" t="n">
        <v>1</v>
      </c>
      <c r="D25" s="4" t="n">
        <v>0</v>
      </c>
      <c r="E25" s="4" t="inlineStr">
        <is>
          <t>Pure Braess paradox</t>
        </is>
      </c>
    </row>
    <row r="26">
      <c r="A26" s="4" t="inlineStr">
        <is>
          <t>S3 (Weekend)</t>
        </is>
      </c>
      <c r="B26" s="4" t="n">
        <v>0.5</v>
      </c>
      <c r="C26" s="4" t="n">
        <v>0</v>
      </c>
      <c r="D26" s="4" t="n">
        <v>0</v>
      </c>
      <c r="E26" s="4" t="inlineStr">
        <is>
          <t>Reduced demand, normal pattern only</t>
        </is>
      </c>
    </row>
    <row r="28">
      <c r="A28" s="2" t="inlineStr">
        <is>
          <t>Computed Link Flows: x = T·α  [formulas]</t>
        </is>
      </c>
    </row>
    <row r="29">
      <c r="A29" s="3" t="inlineStr">
        <is>
          <t>Link</t>
        </is>
      </c>
      <c r="B29" s="3" t="inlineStr">
        <is>
          <t>x_S1</t>
        </is>
      </c>
      <c r="C29" s="3" t="inlineStr">
        <is>
          <t>x_S2</t>
        </is>
      </c>
      <c r="D29" s="3" t="inlineStr">
        <is>
          <t>x_S3</t>
        </is>
      </c>
    </row>
    <row r="30">
      <c r="A30" s="4" t="inlineStr">
        <is>
          <t>a (1→2)</t>
        </is>
      </c>
      <c r="B30" s="5">
        <f>$B$24*B$5+$C$24*C$5+$D$24*D$5</f>
        <v/>
      </c>
      <c r="C30" s="5">
        <f>$B$25*B$5+$C$25*C$5+$D$25*D$5</f>
        <v/>
      </c>
      <c r="D30" s="5">
        <f>$B$26*B$5+$C$26*C$5+$D$26*D$5</f>
        <v/>
      </c>
    </row>
    <row r="31">
      <c r="A31" s="4" t="inlineStr">
        <is>
          <t>b (2→4)</t>
        </is>
      </c>
      <c r="B31" s="5">
        <f>$B$24*B$6+$C$24*C$6+$D$24*D$6</f>
        <v/>
      </c>
      <c r="C31" s="5">
        <f>$B$25*B$6+$C$25*C$6+$D$25*D$6</f>
        <v/>
      </c>
      <c r="D31" s="5">
        <f>$B$26*B$6+$C$26*C$6+$D$26*D$6</f>
        <v/>
      </c>
    </row>
    <row r="32">
      <c r="A32" s="4" t="inlineStr">
        <is>
          <t>c (1→3)</t>
        </is>
      </c>
      <c r="B32" s="5">
        <f>$B$24*B$7+$C$24*C$7+$D$24*D$7</f>
        <v/>
      </c>
      <c r="C32" s="5">
        <f>$B$25*B$7+$C$25*C$7+$D$25*D$7</f>
        <v/>
      </c>
      <c r="D32" s="5">
        <f>$B$26*B$7+$C$26*C$7+$D$26*D$7</f>
        <v/>
      </c>
    </row>
    <row r="33">
      <c r="A33" s="4" t="inlineStr">
        <is>
          <t>d (3→4)</t>
        </is>
      </c>
      <c r="B33" s="5">
        <f>$B$24*B$8+$C$24*C$8+$D$24*D$8</f>
        <v/>
      </c>
      <c r="C33" s="5">
        <f>$B$25*B$8+$C$25*C$8+$D$25*D$8</f>
        <v/>
      </c>
      <c r="D33" s="5">
        <f>$B$26*B$8+$C$26*C$8+$D$26*D$8</f>
        <v/>
      </c>
    </row>
    <row r="34">
      <c r="A34" s="4" t="inlineStr">
        <is>
          <t>e (2→3)</t>
        </is>
      </c>
      <c r="B34" s="5">
        <f>$B$24*B$9+$C$24*C$9+$D$24*D$9</f>
        <v/>
      </c>
      <c r="C34" s="5">
        <f>$B$25*B$9+$C$25*C$9+$D$25*D$9</f>
        <v/>
      </c>
      <c r="D34" s="5">
        <f>$B$26*B$9+$C$26*C$9+$D$26*D$9</f>
        <v/>
      </c>
    </row>
    <row r="36">
      <c r="A36" s="2" t="inlineStr">
        <is>
          <t>Expected from paper</t>
        </is>
      </c>
    </row>
    <row r="37">
      <c r="A37" s="3" t="inlineStr">
        <is>
          <t>Link</t>
        </is>
      </c>
      <c r="B37" s="3" t="inlineStr">
        <is>
          <t>x_S1</t>
        </is>
      </c>
      <c r="C37" s="3" t="inlineStr">
        <is>
          <t>x_S2</t>
        </is>
      </c>
      <c r="D37" s="3" t="inlineStr">
        <is>
          <t>x_S3</t>
        </is>
      </c>
    </row>
    <row r="38">
      <c r="A38" s="4" t="inlineStr">
        <is>
          <t>a (1→2)</t>
        </is>
      </c>
      <c r="B38" s="4" t="n">
        <v>2.5</v>
      </c>
      <c r="C38" s="4" t="n">
        <v>4</v>
      </c>
      <c r="D38" s="4" t="n">
        <v>1</v>
      </c>
    </row>
    <row r="39">
      <c r="A39" s="4" t="inlineStr">
        <is>
          <t>b (2→4)</t>
        </is>
      </c>
      <c r="B39" s="4" t="n">
        <v>1.5</v>
      </c>
      <c r="C39" s="4" t="n">
        <v>0</v>
      </c>
      <c r="D39" s="4" t="n">
        <v>1</v>
      </c>
    </row>
    <row r="40">
      <c r="A40" s="4" t="inlineStr">
        <is>
          <t>c (1→3)</t>
        </is>
      </c>
      <c r="B40" s="4" t="n">
        <v>1.5</v>
      </c>
      <c r="C40" s="4" t="n">
        <v>0</v>
      </c>
      <c r="D40" s="4" t="n">
        <v>1</v>
      </c>
    </row>
    <row r="41">
      <c r="A41" s="4" t="inlineStr">
        <is>
          <t>d (3→4)</t>
        </is>
      </c>
      <c r="B41" s="4" t="n">
        <v>2.5</v>
      </c>
      <c r="C41" s="4" t="n">
        <v>4</v>
      </c>
      <c r="D41" s="4" t="n">
        <v>1</v>
      </c>
    </row>
    <row r="42">
      <c r="A42" s="4" t="inlineStr">
        <is>
          <t>e (2→3)</t>
        </is>
      </c>
      <c r="B42" s="4" t="n">
        <v>1</v>
      </c>
      <c r="C42" s="4" t="n">
        <v>4</v>
      </c>
      <c r="D42" s="4" t="n">
        <v>0</v>
      </c>
    </row>
    <row r="44">
      <c r="A44" s="2" t="inlineStr">
        <is>
          <t>Match?</t>
        </is>
      </c>
    </row>
    <row r="45">
      <c r="A45" t="inlineStr">
        <is>
          <t>a (1→2)</t>
        </is>
      </c>
      <c r="B45" s="6">
        <f>IF(ABS(B30-B38)&lt;0.001,"OK","MISMATCH")</f>
        <v/>
      </c>
      <c r="C45" s="6">
        <f>IF(ABS(C30-C38)&lt;0.001,"OK","MISMATCH")</f>
        <v/>
      </c>
      <c r="D45" s="6">
        <f>IF(ABS(D30-D38)&lt;0.001,"OK","MISMATCH")</f>
        <v/>
      </c>
    </row>
    <row r="46">
      <c r="A46" t="inlineStr">
        <is>
          <t>b (2→4)</t>
        </is>
      </c>
      <c r="B46" s="6">
        <f>IF(ABS(B31-B39)&lt;0.001,"OK","MISMATCH")</f>
        <v/>
      </c>
      <c r="C46" s="6">
        <f>IF(ABS(C31-C39)&lt;0.001,"OK","MISMATCH")</f>
        <v/>
      </c>
      <c r="D46" s="6">
        <f>IF(ABS(D31-D39)&lt;0.001,"OK","MISMATCH")</f>
        <v/>
      </c>
    </row>
    <row r="47">
      <c r="A47" t="inlineStr">
        <is>
          <t>c (1→3)</t>
        </is>
      </c>
      <c r="B47" s="6">
        <f>IF(ABS(B32-B40)&lt;0.001,"OK","MISMATCH")</f>
        <v/>
      </c>
      <c r="C47" s="6">
        <f>IF(ABS(C32-C40)&lt;0.001,"OK","MISMATCH")</f>
        <v/>
      </c>
      <c r="D47" s="6">
        <f>IF(ABS(D32-D40)&lt;0.001,"OK","MISMATCH")</f>
        <v/>
      </c>
    </row>
    <row r="48">
      <c r="A48" t="inlineStr">
        <is>
          <t>d (3→4)</t>
        </is>
      </c>
      <c r="B48" s="6">
        <f>IF(ABS(B33-B41)&lt;0.001,"OK","MISMATCH")</f>
        <v/>
      </c>
      <c r="C48" s="6">
        <f>IF(ABS(C33-C41)&lt;0.001,"OK","MISMATCH")</f>
        <v/>
      </c>
      <c r="D48" s="6">
        <f>IF(ABS(D33-D41)&lt;0.001,"OK","MISMATCH")</f>
        <v/>
      </c>
    </row>
    <row r="49">
      <c r="A49" t="inlineStr">
        <is>
          <t>e (2→3)</t>
        </is>
      </c>
      <c r="B49" s="6">
        <f>IF(ABS(B34-B42)&lt;0.001,"OK","MISMATCH")</f>
        <v/>
      </c>
      <c r="C49" s="6">
        <f>IF(ABS(C34-C42)&lt;0.001,"OK","MISMATCH")</f>
        <v/>
      </c>
      <c r="D49" s="6">
        <f>IF(ABS(D34-D42)&lt;0.001,"OK","MISMATCH")</f>
        <v/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Reconstruction Error Analysis (S=2, dropping T3)</t>
        </is>
      </c>
    </row>
    <row r="3">
      <c r="A3" s="2" t="inlineStr">
        <is>
          <t>Ground truth x_S1 = (2.5, 1.5, 1.5, 2.5, 1.0)</t>
        </is>
      </c>
      <c r="D3" t="inlineStr">
        <is>
          <t>α1 =</t>
        </is>
      </c>
      <c r="E3" t="n">
        <v>0.75</v>
      </c>
    </row>
    <row r="4">
      <c r="D4" t="inlineStr">
        <is>
          <t>α2 =</t>
        </is>
      </c>
      <c r="E4" t="n">
        <v>0.025</v>
      </c>
    </row>
    <row r="5">
      <c r="A5" s="3" t="inlineStr">
        <is>
          <t>Link</t>
        </is>
      </c>
      <c r="B5" s="3" t="inlineStr">
        <is>
          <t>x_S1 (true)</t>
        </is>
      </c>
      <c r="C5" s="3" t="inlineStr">
        <is>
          <t>x_hat (projected)</t>
        </is>
      </c>
      <c r="D5" s="3" t="inlineStr">
        <is>
          <t>Error</t>
        </is>
      </c>
    </row>
    <row r="6">
      <c r="A6" s="4" t="inlineStr">
        <is>
          <t>a (1→2)</t>
        </is>
      </c>
      <c r="B6" s="4" t="n">
        <v>2.5</v>
      </c>
      <c r="C6" s="5">
        <f>$E$3*Templates!B24+$E$4*Templates!C24</f>
        <v/>
      </c>
      <c r="D6" s="7">
        <f>(B6-C6)^2</f>
        <v/>
      </c>
    </row>
    <row r="7">
      <c r="A7" s="4" t="inlineStr">
        <is>
          <t>b (2→4)</t>
        </is>
      </c>
      <c r="B7" s="4" t="n">
        <v>1.5</v>
      </c>
      <c r="C7" s="5">
        <f>$E$3*Templates!B25+$E$4*Templates!C25</f>
        <v/>
      </c>
      <c r="D7" s="7">
        <f>(B7-C7)^2</f>
        <v/>
      </c>
    </row>
    <row r="8">
      <c r="A8" s="4" t="inlineStr">
        <is>
          <t>c (1→3)</t>
        </is>
      </c>
      <c r="B8" s="4" t="n">
        <v>1.5</v>
      </c>
      <c r="C8" s="5">
        <f>$E$3*Templates!B26+$E$4*Templates!C26</f>
        <v/>
      </c>
      <c r="D8" s="7">
        <f>(B8-C8)^2</f>
        <v/>
      </c>
    </row>
    <row r="9">
      <c r="A9" s="4" t="inlineStr">
        <is>
          <t>d (3→4)</t>
        </is>
      </c>
      <c r="B9" s="4" t="n">
        <v>2.5</v>
      </c>
      <c r="C9" s="5">
        <f>$E$3*Templates!B27+$E$4*Templates!C27</f>
        <v/>
      </c>
      <c r="D9" s="7">
        <f>(B9-C9)^2</f>
        <v/>
      </c>
    </row>
    <row r="10">
      <c r="A10" s="4" t="inlineStr">
        <is>
          <t>e (2→3)</t>
        </is>
      </c>
      <c r="B10" s="4" t="n">
        <v>1</v>
      </c>
      <c r="C10" s="5">
        <f>$E$3*Templates!B28+$E$4*Templates!C28</f>
        <v/>
      </c>
      <c r="D10" s="7">
        <f>(B10-C10)^2</f>
        <v/>
      </c>
    </row>
    <row r="12">
      <c r="A12" s="8" t="inlineStr">
        <is>
          <t>||x_S1 - x_hat||_2</t>
        </is>
      </c>
      <c r="B12" s="9">
        <f>SQRT(SUM(D6:D10))</f>
        <v/>
      </c>
    </row>
    <row r="13">
      <c r="A13" s="8" t="inlineStr">
        <is>
          <t>||x_S1||_2</t>
        </is>
      </c>
      <c r="B13" s="6">
        <f>SQRT(SUMSQ(B6:B10))</f>
        <v/>
      </c>
    </row>
    <row r="14">
      <c r="A14" s="8" t="inlineStr">
        <is>
          <t>Relative error</t>
        </is>
      </c>
      <c r="B14" s="9">
        <f>B12/B13</f>
        <v/>
      </c>
      <c r="C14" t="inlineStr">
        <is>
          <t>Paper states ≈ 24%</t>
        </is>
      </c>
    </row>
    <row r="16">
      <c r="A16" s="2" t="inlineStr">
        <is>
          <t>Expected x_hat from paper: (1.6, 1.5, 1.5, 1.6, 0.1)</t>
        </is>
      </c>
    </row>
    <row r="17">
      <c r="A17" s="3" t="inlineStr">
        <is>
          <t>Link</t>
        </is>
      </c>
      <c r="B17" s="3" t="inlineStr">
        <is>
          <t>Paper x_hat</t>
        </is>
      </c>
      <c r="C17" s="3" t="inlineStr">
        <is>
          <t>Formula x_hat</t>
        </is>
      </c>
      <c r="D17" s="3" t="inlineStr">
        <is>
          <t>Match?</t>
        </is>
      </c>
    </row>
    <row r="18">
      <c r="A18" s="4" t="inlineStr">
        <is>
          <t>a (1→2)</t>
        </is>
      </c>
      <c r="B18" s="4" t="n">
        <v>1.6</v>
      </c>
      <c r="C18" s="5">
        <f>C6</f>
        <v/>
      </c>
      <c r="D18" s="5">
        <f>IF(ABS(B18-C18)&lt;0.01,"OK","MISMATCH")</f>
        <v/>
      </c>
    </row>
    <row r="19">
      <c r="A19" s="4" t="inlineStr">
        <is>
          <t>b (2→4)</t>
        </is>
      </c>
      <c r="B19" s="4" t="n">
        <v>1.5</v>
      </c>
      <c r="C19" s="5">
        <f>C7</f>
        <v/>
      </c>
      <c r="D19" s="5">
        <f>IF(ABS(B19-C19)&lt;0.01,"OK","MISMATCH")</f>
        <v/>
      </c>
    </row>
    <row r="20">
      <c r="A20" s="4" t="inlineStr">
        <is>
          <t>c (1→3)</t>
        </is>
      </c>
      <c r="B20" s="4" t="n">
        <v>1.5</v>
      </c>
      <c r="C20" s="5">
        <f>C8</f>
        <v/>
      </c>
      <c r="D20" s="5">
        <f>IF(ABS(B20-C20)&lt;0.01,"OK","MISMATCH")</f>
        <v/>
      </c>
    </row>
    <row r="21">
      <c r="A21" s="4" t="inlineStr">
        <is>
          <t>d (3→4)</t>
        </is>
      </c>
      <c r="B21" s="4" t="n">
        <v>1.6</v>
      </c>
      <c r="C21" s="5">
        <f>C9</f>
        <v/>
      </c>
      <c r="D21" s="5">
        <f>IF(ABS(B21-C21)&lt;0.01,"OK","MISMATCH")</f>
        <v/>
      </c>
    </row>
    <row r="22">
      <c r="A22" s="4" t="inlineStr">
        <is>
          <t>e (2→3)</t>
        </is>
      </c>
      <c r="B22" s="4" t="n">
        <v>0.1</v>
      </c>
      <c r="C22" s="5">
        <f>C10</f>
        <v/>
      </c>
      <c r="D22" s="5">
        <f>IF(ABS(B22-C22)&lt;0.01,"OK","MISMATCH")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2026-03-17T18:55:06Z</dcterms:created>
  <dcterms:modified xmlns:dcterms="http://purl.org/dc/terms/" xmlns:xsi="http://www.w3.org/2001/XMLSchema-instance" xsi:type="dcterms:W3CDTF">2026-03-17T18:55:06Z</dcterms:modified>
</cp:coreProperties>
</file>